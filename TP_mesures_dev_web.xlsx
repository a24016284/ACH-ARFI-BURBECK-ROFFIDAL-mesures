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ofia\Documents\IUT\BUT3\ACH-ARFI-BURBECK-mesures\"/>
    </mc:Choice>
  </mc:AlternateContent>
  <xr:revisionPtr revIDLastSave="0" documentId="8_{240C5AD3-9E77-4012-B467-BE16BC3F910B}" xr6:coauthVersionLast="47" xr6:coauthVersionMax="47" xr10:uidLastSave="{00000000-0000-0000-0000-000000000000}"/>
  <bookViews>
    <workbookView xWindow="-108" yWindow="-108" windowWidth="23256" windowHeight="12456" activeTab="8" xr2:uid="{00000000-000D-0000-FFFF-FFFF00000000}"/>
  </bookViews>
  <sheets>
    <sheet name="LOC" sheetId="1" r:id="rId1"/>
    <sheet name="Halstead" sheetId="3" r:id="rId2"/>
    <sheet name="CC" sheetId="2" r:id="rId3"/>
    <sheet name="QuickSort" sheetId="5" r:id="rId4"/>
    <sheet name="MI" sheetId="6" r:id="rId5"/>
    <sheet name="TCF" sheetId="7" r:id="rId6"/>
    <sheet name="UFC devWeb" sheetId="9" r:id="rId7"/>
    <sheet name="Couplage" sheetId="11" r:id="rId8"/>
    <sheet name="Réponses" sheetId="12"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9" i="5" l="1"/>
  <c r="B13" i="6"/>
  <c r="B3" i="6"/>
  <c r="B11" i="6" s="1"/>
  <c r="B2" i="6"/>
  <c r="C20" i="11"/>
  <c r="C19" i="11"/>
  <c r="C18" i="11"/>
  <c r="C17" i="11"/>
  <c r="C16" i="11"/>
  <c r="C15" i="11"/>
  <c r="C14" i="11"/>
  <c r="C13" i="11"/>
  <c r="C12" i="11"/>
  <c r="C11" i="11"/>
  <c r="C10" i="11"/>
  <c r="C9" i="11"/>
  <c r="C8" i="11"/>
  <c r="C7" i="11"/>
  <c r="C6" i="11"/>
  <c r="C5" i="11"/>
  <c r="C4" i="11"/>
  <c r="C3" i="11"/>
  <c r="C2" i="11"/>
  <c r="H7" i="9"/>
  <c r="H6" i="9"/>
  <c r="H5" i="9"/>
  <c r="H4" i="9"/>
  <c r="H3" i="9"/>
  <c r="I3" i="9" s="1"/>
  <c r="D2" i="7"/>
  <c r="E3" i="2"/>
  <c r="E3" i="3"/>
  <c r="D3" i="3"/>
  <c r="F3" i="3" s="1"/>
  <c r="C3" i="3"/>
  <c r="B3" i="3"/>
  <c r="B10" i="6" l="1"/>
  <c r="B14" i="6" s="1"/>
  <c r="B5" i="6"/>
  <c r="I3" i="3"/>
  <c r="G3" i="3"/>
  <c r="H3" i="3" s="1"/>
  <c r="J3" i="3" l="1"/>
</calcChain>
</file>

<file path=xl/sharedStrings.xml><?xml version="1.0" encoding="utf-8"?>
<sst xmlns="http://schemas.openxmlformats.org/spreadsheetml/2006/main" count="190" uniqueCount="159">
  <si>
    <t>Lignes de code</t>
  </si>
  <si>
    <t>Projet</t>
  </si>
  <si>
    <t>LOC</t>
  </si>
  <si>
    <t>devWeb-main (PHP + CSS)</t>
  </si>
  <si>
    <t>devWeb-main (PHP)</t>
  </si>
  <si>
    <t>iqsort0 (exercice 2)</t>
  </si>
  <si>
    <t>devWeb-main (CSS)</t>
  </si>
  <si>
    <t>Complexité cyclomatique</t>
  </si>
  <si>
    <t>Fonction</t>
  </si>
  <si>
    <t>N</t>
  </si>
  <si>
    <t>E</t>
  </si>
  <si>
    <t>P</t>
  </si>
  <si>
    <t>CC</t>
  </si>
  <si>
    <t>iqsort0</t>
  </si>
  <si>
    <t>Mesures de Halstead</t>
  </si>
  <si>
    <t>nt</t>
  </si>
  <si>
    <t>nd</t>
  </si>
  <si>
    <t>Nt</t>
  </si>
  <si>
    <t>Nd</t>
  </si>
  <si>
    <t>n</t>
  </si>
  <si>
    <t>V</t>
  </si>
  <si>
    <t>D</t>
  </si>
  <si>
    <t>Formules :</t>
  </si>
  <si>
    <t>N = Nt + Nd (longueur)</t>
  </si>
  <si>
    <t>n = nt + nd (vocabulaire)</t>
  </si>
  <si>
    <t>V = N * log2(n) (volume)</t>
  </si>
  <si>
    <t>Opérateur</t>
  </si>
  <si>
    <t>Nb</t>
  </si>
  <si>
    <t>Opérande</t>
  </si>
  <si>
    <t>D = (nt / 2) * (Nd / nd) (difficulté)</t>
  </si>
  <si>
    <t>()</t>
  </si>
  <si>
    <t>a</t>
  </si>
  <si>
    <t>E = D * V (effort)</t>
  </si>
  <si>
    <t>,</t>
  </si>
  <si>
    <t>j</t>
  </si>
  <si>
    <t>;</t>
  </si>
  <si>
    <t>i</t>
  </si>
  <si>
    <t>nt = nb d'opérateurs distincts</t>
  </si>
  <si>
    <t>int</t>
  </si>
  <si>
    <t>Nt = nb total d'occurrences d'opérateurs</t>
  </si>
  <si>
    <t>if</t>
  </si>
  <si>
    <t>1</t>
  </si>
  <si>
    <t>nd = nb d'opérandes distincts</t>
  </si>
  <si>
    <t>=</t>
  </si>
  <si>
    <t>Nd = nb total d'occurrences d'opérandes</t>
  </si>
  <si>
    <t>&lt;</t>
  </si>
  <si>
    <t>0</t>
  </si>
  <si>
    <t>++</t>
  </si>
  <si>
    <t>swap</t>
  </si>
  <si>
    <t>Conventions choisies :</t>
  </si>
  <si>
    <t>[]</t>
  </si>
  <si>
    <t>- une paire () [] {} compte comme 1 opérateur</t>
  </si>
  <si>
    <t>+</t>
  </si>
  <si>
    <t>- noms de fonctions (swap, iqsort0) = opérandes</t>
  </si>
  <si>
    <t>-</t>
  </si>
  <si>
    <t>- constantes (0, 1) = opérandes</t>
  </si>
  <si>
    <t>void</t>
  </si>
  <si>
    <t>- , et ; comptés comme opérateurs</t>
  </si>
  <si>
    <t>*</t>
  </si>
  <si>
    <t>{}</t>
  </si>
  <si>
    <t>Q2.7 : les choix opérateur/opérande ne sont pas uniques.</t>
  </si>
  <si>
    <t>return</t>
  </si>
  <si>
    <t>Une relation empirique doit justifier difficulté et effort.</t>
  </si>
  <si>
    <t>for</t>
  </si>
  <si>
    <t>&lt;=</t>
  </si>
  <si>
    <t>Poids</t>
  </si>
  <si>
    <t>Scores</t>
  </si>
  <si>
    <t>Simple</t>
  </si>
  <si>
    <t>Moyen</t>
  </si>
  <si>
    <t>Difficile</t>
  </si>
  <si>
    <t>Sous-total</t>
  </si>
  <si>
    <t>COM (%)</t>
  </si>
  <si>
    <t>N°</t>
  </si>
  <si>
    <t>Description</t>
  </si>
  <si>
    <t>devWeb-main</t>
  </si>
  <si>
    <t>TCF</t>
  </si>
  <si>
    <t>Sauvegarde et récupération fiables ?</t>
  </si>
  <si>
    <t>Nécessite une communication de données ?</t>
  </si>
  <si>
    <t>Y a t’il des fonctions de traitement distribué ? (calculs sur le telephone par exemple)</t>
  </si>
  <si>
    <t>Les performances sont elles critiques ?</t>
  </si>
  <si>
    <t>Environnement existant et lourdement utilisé ?</t>
  </si>
  <si>
    <t>Saisie de données en ligne ?</t>
  </si>
  <si>
    <t>Saisie sur plusieurs écrans ?</t>
  </si>
  <si>
    <t>Fichiers principaux mis a jour en ligne ?</t>
  </si>
  <si>
    <t>Entrées, sorties, fichiers, requêtes complexes ?</t>
  </si>
  <si>
    <t>Traitement interne complexe ?</t>
  </si>
  <si>
    <t>Code conçu pour être réutilisable ?</t>
  </si>
  <si>
    <t>Conversion et installation prévues dans la conception ?</t>
  </si>
  <si>
    <t>Système conçu pour multiples organisations et plateformes</t>
  </si>
  <si>
    <t>L’application est facile d’utilisation pour les utilisateurs ?</t>
  </si>
  <si>
    <t>Catégorie</t>
  </si>
  <si>
    <t>UFC estimé</t>
  </si>
  <si>
    <t>Entrées externes</t>
  </si>
  <si>
    <t>Sorties externes</t>
  </si>
  <si>
    <t>Requêtes externes</t>
  </si>
  <si>
    <t>Fichiers internes</t>
  </si>
  <si>
    <t>Fichiers externes</t>
  </si>
  <si>
    <t>Mesure</t>
  </si>
  <si>
    <t>Valeur</t>
  </si>
  <si>
    <t>Classe</t>
  </si>
  <si>
    <t>CBO</t>
  </si>
  <si>
    <t>LCOM1</t>
  </si>
  <si>
    <t>P sans partage</t>
  </si>
  <si>
    <t>Q avec partage</t>
  </si>
  <si>
    <t>Classes référencées</t>
  </si>
  <si>
    <t>AccueilController</t>
  </si>
  <si>
    <t>AlbumModel; FooterController; HeadController; HeaderController; SongModel; ToggleButtonController; UserModels</t>
  </si>
  <si>
    <t>AlbumModel</t>
  </si>
  <si>
    <t>Autoloader</t>
  </si>
  <si>
    <t>BienvenueController</t>
  </si>
  <si>
    <t>HeadController; ToggleButtonController</t>
  </si>
  <si>
    <t>Builder</t>
  </si>
  <si>
    <t>DoubleAuthentificationController</t>
  </si>
  <si>
    <t>HeadController; ToggleButtonController; UserModels</t>
  </si>
  <si>
    <t>FooterController</t>
  </si>
  <si>
    <t>HeadController</t>
  </si>
  <si>
    <t>HeaderController</t>
  </si>
  <si>
    <t>MdpOublieController</t>
  </si>
  <si>
    <t>MdpRenitController</t>
  </si>
  <si>
    <t>PlanDuSiteController</t>
  </si>
  <si>
    <t>QuoteModel</t>
  </si>
  <si>
    <t>SInscrireController</t>
  </si>
  <si>
    <t>SeConnecterController</t>
  </si>
  <si>
    <t>SeDeconnecterController</t>
  </si>
  <si>
    <t>SongModel</t>
  </si>
  <si>
    <t>ToggleButtonController</t>
  </si>
  <si>
    <t>UserModels</t>
  </si>
  <si>
    <t>CBO : classes internes distinctes référencées ; LCOM1 = max(P − Q, 0).</t>
  </si>
  <si>
    <t>Question</t>
  </si>
  <si>
    <t>Réponse</t>
  </si>
  <si>
    <t>Q7 (Halstead / validité)</t>
  </si>
  <si>
    <t>Une mesure est valide si les relations empiriques (ex. « ce code est plus complexe que celui-là ») se retrouvent dans les relations entre nombres (ex. V plus grand). Pour Halstead : (1) la frontière opérateur/opérande est ambiguë (parenthèses, ; , noms de fonctions, constantes) : deux personnes obtiennent n1, n2, N1, N2 différents pour le même code, donc l'application M : A → B n'est pas bien définie ; (2) les formules de difficulté D = (n1/2)(N2/n2) et d'effort E = D x V ne sont pas justifiées par une relation empirique observée : rien ne prouve qu'un D plus grand signifie un code plus difficile à comprendre. Sans justification, on ne peut pas montrer que la mesure préserve les relations empiriques, donc sa validité est douteuse.</t>
  </si>
  <si>
    <t>Q8 (poids)</t>
  </si>
  <si>
    <t>Les poids simple/moyen/difficile sont des jugements d'experts (ordinal), pas des mesures exactes. Pour les établir : s'appuyer sur des données historiques de projets similaires (temps réel passé par type d'écran), comparer des éléments entre eux (un formulaire de saisie avec validation demande plus de travail qu'un écran d'alerte), puis convertir ces rapports en poids (ex. 3, 4, 6) et les calibrer a posteriori. Le risque est une mauvaise estimation, qui rend le résultat invalide (cf. inconvénients du CM).</t>
  </si>
  <si>
    <t>Q10-11 (MI)</t>
  </si>
  <si>
    <t>MI de iqsort0 sans commentaires : voir onglet MI (LOC = 12). Avec 6 lignes de commentaires : LOC = 18 et COM = 6/18 = 33 %. Le terme en sinus augmente le MI : commenter améliore la maintenabilité mesurée.</t>
  </si>
  <si>
    <t>Q12 (TFC/TCF)</t>
  </si>
  <si>
    <t>Le sujet écrit « TFC » mais le CM parle de TCF (Facteur de Complexité Technique) : TCF = 0,65 + 0,01 x somme des 14 facteurs notés de 0 à 5. Les 14 facteurs sont ceux du CM (p. 48).</t>
  </si>
  <si>
    <t>Q13 à surveiller</t>
  </si>
  <si>
    <t>Le sujet demande le dépôt public r201D00Engins-ENS pour le mini-projet. Les onglets Projet et Couplage mesurent devWeb-main : vérifier avec l'enseignant que c'est bien accepté, sinon refaire ces mesures sur le dépôt demandé.</t>
  </si>
  <si>
    <r>
      <t xml:space="preserve">Nombre de blocs du graphe de flot de contrôle (CFG) retenu pour </t>
    </r>
    <r>
      <rPr>
        <sz val="10"/>
        <rFont val="Arial Unicode MS"/>
      </rPr>
      <t>iqsort0</t>
    </r>
    <r>
      <rPr>
        <sz val="10"/>
        <rFont val="Arial"/>
        <family val="2"/>
        <charset val="1"/>
      </rPr>
      <t>.</t>
    </r>
  </si>
  <si>
    <t>Nombre d’arcs du CFG. Une autre granularité peut conduire à 12 blocs et 14 arcs.</t>
  </si>
  <si>
    <t>Nombre de composantes connexes du graphe ; chaque fonction analysée séparément constitue généralement une composante.</t>
  </si>
  <si>
    <t>Complexité cyclomatique : nombre de chemins linéairement indépendants dans le graphe.</t>
  </si>
  <si>
    <t xml:space="preserve">N </t>
  </si>
  <si>
    <t xml:space="preserve">E </t>
  </si>
  <si>
    <t>CC (CC = E − N + 2P)</t>
  </si>
  <si>
    <t>Volume (V)</t>
  </si>
  <si>
    <t>Lignes de code (LOC)</t>
  </si>
  <si>
    <t>MI = 171 − 5,2 ln(V) − 0,23 CC − 16,2 ln(LOC)</t>
  </si>
  <si>
    <t>Question 2.11</t>
  </si>
  <si>
    <t>LOC avec commentaires</t>
  </si>
  <si>
    <t>MI avec commentaires</t>
  </si>
  <si>
    <t>Volume (V) N * log2(n) (volume)</t>
  </si>
  <si>
    <t>Complexité cyclomatique (CC)  (CC = E − N + 2P)</t>
  </si>
  <si>
    <t>simple</t>
  </si>
  <si>
    <t>moyen</t>
  </si>
  <si>
    <t>difficile</t>
  </si>
  <si>
    <t>UFC QuickSort (illustration)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</si>
</sst>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_);_(@_)"/>
    <numFmt numFmtId="165" formatCode="_(* #,##0_);_(* \(#,##0\);_(* \-_);_(@_)"/>
    <numFmt numFmtId="166" formatCode="_(\$* #,##0.00_);_(\$* \(#,##0.00\);_(\$* \-??_);_(@_)"/>
    <numFmt numFmtId="167" formatCode="_(\$* #,##0_);_(\$* \(#,##0\);_(\$* \-_);_(@_)"/>
  </numFmts>
  <fonts count="5">
    <font>
      <sz val="10"/>
      <name val="Arial"/>
      <family val="2"/>
      <charset val="1"/>
    </font>
    <font>
      <sz val="10"/>
      <name val="Arial"/>
      <charset val="1"/>
    </font>
    <font>
      <b/>
      <sz val="11"/>
      <name val="Cambria"/>
      <charset val="1"/>
    </font>
    <font>
      <b/>
      <sz val="10"/>
      <name val="Arial"/>
      <family val="2"/>
      <charset val="1"/>
    </font>
    <font>
      <sz val="10"/>
      <name val="Arial Unicode MS"/>
    </font>
  </fonts>
  <fills count="2">
    <fill>
      <patternFill patternType="none"/>
    </fill>
    <fill>
      <patternFill patternType="gray125"/>
    </fill>
  </fills>
  <borders count="1">
    <border>
      <left/>
      <right/>
      <top/>
      <bottom/>
      <diagonal/>
    </border>
  </borders>
  <cellStyleXfs count="6">
    <xf numFmtId="0" fontId="0" fillId="0" borderId="0"/>
    <xf numFmtId="164" fontId="1" fillId="0" borderId="0"/>
    <xf numFmtId="165" fontId="1" fillId="0" borderId="0"/>
    <xf numFmtId="166" fontId="1" fillId="0" borderId="0"/>
    <xf numFmtId="167" fontId="1" fillId="0" borderId="0"/>
    <xf numFmtId="9" fontId="1" fillId="0" borderId="0"/>
  </cellStyleXfs>
  <cellXfs count="9">
    <xf numFmtId="0" fontId="0" fillId="0" borderId="0" xfId="0"/>
    <xf numFmtId="0" fontId="1" fillId="0" borderId="0" xfId="0" applyFont="1"/>
    <xf numFmtId="2" fontId="0" fillId="0" borderId="0" xfId="0" applyNumberFormat="1"/>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4" fontId="0" fillId="0" borderId="0" xfId="0" applyNumberFormat="1"/>
  </cellXfs>
  <cellStyles count="6">
    <cellStyle name="Comma" xfId="1" xr:uid="{00000000-0005-0000-0000-000006000000}"/>
    <cellStyle name="Comma [0]" xfId="2" xr:uid="{00000000-0005-0000-0000-000007000000}"/>
    <cellStyle name="Currency" xfId="3" xr:uid="{00000000-0005-0000-0000-000008000000}"/>
    <cellStyle name="Currency [0]" xfId="4" xr:uid="{00000000-0005-0000-0000-000009000000}"/>
    <cellStyle name="Normal" xfId="0" builtinId="0"/>
    <cellStyle name="Percent" xfId="5"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Normal="100" workbookViewId="0">
      <selection activeCell="B15" sqref="B15"/>
    </sheetView>
  </sheetViews>
  <sheetFormatPr baseColWidth="10" defaultColWidth="11.5546875" defaultRowHeight="13.2"/>
  <cols>
    <col min="1" max="1" width="32" customWidth="1"/>
    <col min="2" max="2" width="21" customWidth="1"/>
    <col min="4" max="4" width="54" customWidth="1"/>
  </cols>
  <sheetData>
    <row r="1" spans="1:4" ht="12.75" customHeight="1">
      <c r="B1" t="s">
        <v>0</v>
      </c>
    </row>
    <row r="2" spans="1:4" ht="12.75" customHeight="1">
      <c r="A2" t="s">
        <v>1</v>
      </c>
      <c r="B2" t="s">
        <v>2</v>
      </c>
    </row>
    <row r="3" spans="1:4" ht="12.75" customHeight="1">
      <c r="A3" t="s">
        <v>3</v>
      </c>
      <c r="B3">
        <v>2140</v>
      </c>
    </row>
    <row r="4" spans="1:4" ht="12.75" customHeight="1">
      <c r="A4" t="s">
        <v>4</v>
      </c>
      <c r="B4">
        <v>2134</v>
      </c>
    </row>
    <row r="5" spans="1:4" ht="12.75" customHeight="1">
      <c r="A5" t="s">
        <v>6</v>
      </c>
      <c r="B5">
        <v>6</v>
      </c>
      <c r="D5" s="1"/>
    </row>
    <row r="9" spans="1:4">
      <c r="A9" s="1" t="s">
        <v>5</v>
      </c>
      <c r="B9" s="1">
        <v>12</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3"/>
  <sheetViews>
    <sheetView zoomScaleNormal="100" workbookViewId="0">
      <selection activeCell="H16" sqref="H16"/>
    </sheetView>
  </sheetViews>
  <sheetFormatPr baseColWidth="10" defaultColWidth="8.6640625" defaultRowHeight="13.2"/>
  <cols>
    <col min="1" max="1" width="11" customWidth="1"/>
    <col min="4" max="4" width="11" customWidth="1"/>
    <col min="11" max="11" width="4.109375" customWidth="1"/>
    <col min="12" max="12" width="5.44140625" customWidth="1"/>
  </cols>
  <sheetData>
    <row r="1" spans="1:27" ht="15" customHeight="1">
      <c r="B1" t="s">
        <v>14</v>
      </c>
      <c r="M1" t="s">
        <v>28</v>
      </c>
      <c r="N1" t="s">
        <v>27</v>
      </c>
      <c r="P1" t="s">
        <v>26</v>
      </c>
      <c r="Q1" t="s">
        <v>27</v>
      </c>
    </row>
    <row r="2" spans="1:27" ht="15" customHeight="1">
      <c r="A2" t="s">
        <v>8</v>
      </c>
      <c r="B2" t="s">
        <v>15</v>
      </c>
      <c r="C2" t="s">
        <v>16</v>
      </c>
      <c r="D2" t="s">
        <v>17</v>
      </c>
      <c r="E2" t="s">
        <v>18</v>
      </c>
      <c r="F2" t="s">
        <v>9</v>
      </c>
      <c r="G2" t="s">
        <v>19</v>
      </c>
      <c r="H2" t="s">
        <v>20</v>
      </c>
      <c r="I2" t="s">
        <v>21</v>
      </c>
      <c r="J2" t="s">
        <v>10</v>
      </c>
      <c r="M2" t="s">
        <v>31</v>
      </c>
      <c r="N2">
        <v>7</v>
      </c>
      <c r="P2" t="s">
        <v>30</v>
      </c>
      <c r="Q2">
        <v>8</v>
      </c>
      <c r="AA2" t="s">
        <v>22</v>
      </c>
    </row>
    <row r="3" spans="1:27" ht="15" customHeight="1">
      <c r="A3" t="s">
        <v>13</v>
      </c>
      <c r="B3">
        <f>COUNTA(P2:P18)</f>
        <v>17</v>
      </c>
      <c r="C3">
        <f>COUNTA(M2:M9)</f>
        <v>8</v>
      </c>
      <c r="D3">
        <f>SUM(Q2:Q18)</f>
        <v>48</v>
      </c>
      <c r="E3">
        <f>SUM(N2:N9)</f>
        <v>36</v>
      </c>
      <c r="F3">
        <f>D3+E3</f>
        <v>84</v>
      </c>
      <c r="G3">
        <f>B3+C3</f>
        <v>25</v>
      </c>
      <c r="H3" s="2">
        <f>F3*LOG(G3,2)</f>
        <v>390.08391994107683</v>
      </c>
      <c r="I3" s="2">
        <f>(B3/2)*(E3/C3)</f>
        <v>38.25</v>
      </c>
      <c r="J3" s="2">
        <f>I3*H3</f>
        <v>14920.709937746189</v>
      </c>
      <c r="M3" t="s">
        <v>34</v>
      </c>
      <c r="N3">
        <v>7</v>
      </c>
      <c r="P3" t="s">
        <v>33</v>
      </c>
      <c r="Q3">
        <v>9</v>
      </c>
      <c r="AA3" t="s">
        <v>23</v>
      </c>
    </row>
    <row r="4" spans="1:27" ht="15" customHeight="1">
      <c r="M4" t="s">
        <v>36</v>
      </c>
      <c r="N4">
        <v>6</v>
      </c>
      <c r="P4" t="s">
        <v>35</v>
      </c>
      <c r="Q4">
        <v>8</v>
      </c>
      <c r="AA4" t="s">
        <v>24</v>
      </c>
    </row>
    <row r="5" spans="1:27" ht="15" customHeight="1">
      <c r="M5" t="s">
        <v>19</v>
      </c>
      <c r="N5">
        <v>4</v>
      </c>
      <c r="P5" t="s">
        <v>38</v>
      </c>
      <c r="Q5">
        <v>3</v>
      </c>
      <c r="AA5" t="s">
        <v>25</v>
      </c>
    </row>
    <row r="6" spans="1:27" ht="15" customHeight="1">
      <c r="M6" t="s">
        <v>41</v>
      </c>
      <c r="N6">
        <v>4</v>
      </c>
      <c r="P6" t="s">
        <v>40</v>
      </c>
      <c r="Q6">
        <v>2</v>
      </c>
      <c r="AA6" t="s">
        <v>29</v>
      </c>
    </row>
    <row r="7" spans="1:27" ht="15" customHeight="1">
      <c r="M7" t="s">
        <v>13</v>
      </c>
      <c r="N7">
        <v>3</v>
      </c>
      <c r="P7" t="s">
        <v>43</v>
      </c>
      <c r="Q7">
        <v>2</v>
      </c>
      <c r="AA7" t="s">
        <v>32</v>
      </c>
    </row>
    <row r="8" spans="1:27" ht="15" customHeight="1">
      <c r="M8" t="s">
        <v>46</v>
      </c>
      <c r="N8">
        <v>3</v>
      </c>
      <c r="P8" t="s">
        <v>45</v>
      </c>
      <c r="Q8">
        <v>2</v>
      </c>
    </row>
    <row r="9" spans="1:27" ht="15" customHeight="1">
      <c r="M9" t="s">
        <v>48</v>
      </c>
      <c r="N9">
        <v>2</v>
      </c>
      <c r="P9" t="s">
        <v>47</v>
      </c>
      <c r="Q9">
        <v>2</v>
      </c>
      <c r="AA9" t="s">
        <v>37</v>
      </c>
    </row>
    <row r="10" spans="1:27" ht="15" customHeight="1">
      <c r="P10" t="s">
        <v>50</v>
      </c>
      <c r="Q10">
        <v>2</v>
      </c>
      <c r="AA10" t="s">
        <v>39</v>
      </c>
    </row>
    <row r="11" spans="1:27" ht="15" customHeight="1">
      <c r="P11" t="s">
        <v>52</v>
      </c>
      <c r="Q11">
        <v>2</v>
      </c>
      <c r="AA11" t="s">
        <v>42</v>
      </c>
    </row>
    <row r="12" spans="1:27" ht="15" customHeight="1">
      <c r="P12" t="s">
        <v>54</v>
      </c>
      <c r="Q12">
        <v>2</v>
      </c>
      <c r="AA12" t="s">
        <v>44</v>
      </c>
    </row>
    <row r="13" spans="1:27" ht="15" customHeight="1">
      <c r="P13" t="s">
        <v>56</v>
      </c>
      <c r="Q13">
        <v>1</v>
      </c>
    </row>
    <row r="14" spans="1:27" ht="15" customHeight="1">
      <c r="P14" t="s">
        <v>58</v>
      </c>
      <c r="Q14">
        <v>1</v>
      </c>
      <c r="AA14" t="s">
        <v>49</v>
      </c>
    </row>
    <row r="15" spans="1:27" ht="15" customHeight="1">
      <c r="P15" t="s">
        <v>59</v>
      </c>
      <c r="Q15">
        <v>1</v>
      </c>
      <c r="AA15" t="s">
        <v>51</v>
      </c>
    </row>
    <row r="16" spans="1:27" ht="15" customHeight="1">
      <c r="P16" t="s">
        <v>61</v>
      </c>
      <c r="Q16">
        <v>1</v>
      </c>
      <c r="AA16" t="s">
        <v>53</v>
      </c>
    </row>
    <row r="17" spans="16:27" ht="15" customHeight="1">
      <c r="P17" t="s">
        <v>63</v>
      </c>
      <c r="Q17">
        <v>1</v>
      </c>
      <c r="AA17" t="s">
        <v>55</v>
      </c>
    </row>
    <row r="18" spans="16:27" ht="15" customHeight="1">
      <c r="P18" t="s">
        <v>64</v>
      </c>
      <c r="Q18">
        <v>1</v>
      </c>
      <c r="AA18" t="s">
        <v>57</v>
      </c>
    </row>
    <row r="19" spans="16:27" ht="15" customHeight="1"/>
    <row r="20" spans="16:27" ht="15" customHeight="1">
      <c r="AA20" t="s">
        <v>60</v>
      </c>
    </row>
    <row r="21" spans="16:27" ht="15" customHeight="1">
      <c r="AA21" t="s">
        <v>62</v>
      </c>
    </row>
    <row r="22" spans="16:27" ht="15" customHeight="1"/>
    <row r="23" spans="16:27" ht="15" customHeight="1"/>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5"/>
  <sheetViews>
    <sheetView zoomScaleNormal="100" workbookViewId="0">
      <selection activeCell="E2" sqref="E2"/>
    </sheetView>
  </sheetViews>
  <sheetFormatPr baseColWidth="10" defaultColWidth="8.6640625" defaultRowHeight="13.2"/>
  <cols>
    <col min="1" max="1" width="14" customWidth="1"/>
    <col min="7" max="7" width="12" customWidth="1"/>
    <col min="8" max="8" width="61.5546875" customWidth="1"/>
  </cols>
  <sheetData>
    <row r="1" spans="1:33" ht="15" customHeight="1">
      <c r="B1" t="s">
        <v>7</v>
      </c>
      <c r="AF1" s="7"/>
      <c r="AG1" s="7"/>
    </row>
    <row r="2" spans="1:33" ht="15" customHeight="1">
      <c r="A2" t="s">
        <v>8</v>
      </c>
      <c r="B2" t="s">
        <v>9</v>
      </c>
      <c r="C2" t="s">
        <v>10</v>
      </c>
      <c r="D2" t="s">
        <v>11</v>
      </c>
      <c r="E2" t="s">
        <v>146</v>
      </c>
      <c r="AF2" s="7" t="s">
        <v>144</v>
      </c>
      <c r="AG2" s="6" t="s">
        <v>140</v>
      </c>
    </row>
    <row r="3" spans="1:33" ht="15" customHeight="1">
      <c r="A3" t="s">
        <v>13</v>
      </c>
      <c r="B3">
        <v>9</v>
      </c>
      <c r="C3">
        <v>11</v>
      </c>
      <c r="D3">
        <v>1</v>
      </c>
      <c r="E3">
        <f>C3-B3+2*D3</f>
        <v>4</v>
      </c>
      <c r="AF3" s="7" t="s">
        <v>145</v>
      </c>
      <c r="AG3" s="6" t="s">
        <v>141</v>
      </c>
    </row>
    <row r="4" spans="1:33" ht="15" customHeight="1">
      <c r="AF4" s="7" t="s">
        <v>11</v>
      </c>
      <c r="AG4" s="6" t="s">
        <v>142</v>
      </c>
    </row>
    <row r="5" spans="1:33" ht="24.6" customHeight="1">
      <c r="AF5" s="7" t="s">
        <v>12</v>
      </c>
      <c r="AG5" s="6" t="s">
        <v>143</v>
      </c>
    </row>
    <row r="6" spans="1:33" ht="24.6" customHeight="1"/>
    <row r="7" spans="1:33" ht="13.8" customHeight="1"/>
    <row r="15" spans="1:33">
      <c r="G15" s="5"/>
      <c r="H15" s="5"/>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5"/>
  <sheetViews>
    <sheetView zoomScaleNormal="100" workbookViewId="0">
      <selection activeCell="C22" sqref="C22"/>
    </sheetView>
  </sheetViews>
  <sheetFormatPr baseColWidth="10" defaultColWidth="9.77734375" defaultRowHeight="13.2"/>
  <cols>
    <col min="1" max="1" width="33.33203125" customWidth="1"/>
    <col min="2" max="7" width="17.77734375" customWidth="1"/>
  </cols>
  <sheetData>
    <row r="1" spans="1:7" ht="12.75" customHeight="1">
      <c r="C1" t="s">
        <v>65</v>
      </c>
      <c r="F1" t="s">
        <v>66</v>
      </c>
    </row>
    <row r="2" spans="1:7" ht="12.75" customHeight="1">
      <c r="A2" t="s">
        <v>90</v>
      </c>
      <c r="B2" t="s">
        <v>155</v>
      </c>
      <c r="C2" t="s">
        <v>156</v>
      </c>
      <c r="D2" t="s">
        <v>157</v>
      </c>
      <c r="E2" t="s">
        <v>155</v>
      </c>
      <c r="F2" t="s">
        <v>156</v>
      </c>
      <c r="G2" t="s">
        <v>157</v>
      </c>
    </row>
    <row r="3" spans="1:7" ht="12.75" customHeight="1">
      <c r="A3" t="s">
        <v>92</v>
      </c>
      <c r="B3">
        <v>3</v>
      </c>
      <c r="C3">
        <v>4</v>
      </c>
      <c r="D3">
        <v>6</v>
      </c>
      <c r="E3">
        <v>2</v>
      </c>
      <c r="F3">
        <v>0</v>
      </c>
      <c r="G3">
        <v>0</v>
      </c>
    </row>
    <row r="4" spans="1:7" ht="12.75" customHeight="1">
      <c r="A4" t="s">
        <v>93</v>
      </c>
      <c r="B4">
        <v>4</v>
      </c>
      <c r="C4">
        <v>5</v>
      </c>
      <c r="D4">
        <v>7</v>
      </c>
      <c r="E4">
        <v>0</v>
      </c>
      <c r="F4">
        <v>0</v>
      </c>
      <c r="G4">
        <v>0</v>
      </c>
    </row>
    <row r="5" spans="1:7" ht="12.75" customHeight="1">
      <c r="A5" t="s">
        <v>94</v>
      </c>
      <c r="B5">
        <v>3</v>
      </c>
      <c r="C5">
        <v>4</v>
      </c>
      <c r="D5">
        <v>6</v>
      </c>
      <c r="E5">
        <v>0</v>
      </c>
      <c r="F5">
        <v>0</v>
      </c>
      <c r="G5">
        <v>0</v>
      </c>
    </row>
    <row r="6" spans="1:7" ht="12.75" customHeight="1">
      <c r="A6" t="s">
        <v>95</v>
      </c>
      <c r="B6">
        <v>7</v>
      </c>
      <c r="C6">
        <v>10</v>
      </c>
      <c r="D6">
        <v>15</v>
      </c>
      <c r="E6">
        <v>1</v>
      </c>
      <c r="F6">
        <v>0</v>
      </c>
      <c r="G6">
        <v>0</v>
      </c>
    </row>
    <row r="7" spans="1:7" ht="12.75" customHeight="1">
      <c r="A7" t="s">
        <v>96</v>
      </c>
      <c r="B7">
        <v>5</v>
      </c>
      <c r="C7">
        <v>7</v>
      </c>
      <c r="D7">
        <v>10</v>
      </c>
      <c r="E7">
        <v>0</v>
      </c>
      <c r="F7">
        <v>0</v>
      </c>
      <c r="G7">
        <v>0</v>
      </c>
    </row>
    <row r="8" spans="1:7" ht="12.75" customHeight="1"/>
    <row r="9" spans="1:7" ht="12.75" customHeight="1">
      <c r="A9" t="s">
        <v>158</v>
      </c>
      <c r="B9">
        <f>SUMPRODUCT(B3:B7,E3:E7)+SUMPRODUCT(C3:C7,F3:F7)+SUMPRODUCT(D3:D7,G3:G7)</f>
        <v>13</v>
      </c>
    </row>
    <row r="10" spans="1:7" ht="12.75" customHeight="1"/>
    <row r="11" spans="1:7" ht="12.75" customHeight="1"/>
    <row r="12" spans="1:7" ht="12.75" customHeight="1"/>
    <row r="13" spans="1:7" ht="12.75" customHeight="1"/>
    <row r="15" spans="1:7" ht="12.75" customHeight="1"/>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
  <sheetViews>
    <sheetView zoomScaleNormal="100" workbookViewId="0">
      <selection activeCell="G9" sqref="G9"/>
    </sheetView>
  </sheetViews>
  <sheetFormatPr baseColWidth="10" defaultColWidth="8.33203125" defaultRowHeight="13.2"/>
  <cols>
    <col min="1" max="1" width="42.44140625" customWidth="1"/>
    <col min="2" max="2" width="17" customWidth="1"/>
    <col min="3" max="4" width="12" customWidth="1"/>
    <col min="5" max="5" width="15" customWidth="1"/>
    <col min="6" max="6" width="13" customWidth="1"/>
    <col min="7" max="7" width="72" customWidth="1"/>
  </cols>
  <sheetData>
    <row r="1" spans="1:7" ht="15" customHeight="1">
      <c r="A1" t="s">
        <v>97</v>
      </c>
      <c r="B1" t="s">
        <v>98</v>
      </c>
    </row>
    <row r="2" spans="1:7" ht="15" customHeight="1">
      <c r="A2" t="s">
        <v>153</v>
      </c>
      <c r="B2">
        <f>Halstead!D7</f>
        <v>0</v>
      </c>
      <c r="G2" s="1"/>
    </row>
    <row r="3" spans="1:7" ht="15" customHeight="1">
      <c r="A3" t="s">
        <v>154</v>
      </c>
      <c r="B3">
        <f>CC!B8</f>
        <v>0</v>
      </c>
      <c r="G3" s="1"/>
    </row>
    <row r="4" spans="1:7" ht="15" customHeight="1">
      <c r="A4" t="s">
        <v>148</v>
      </c>
      <c r="B4">
        <v>12</v>
      </c>
      <c r="G4" s="1"/>
    </row>
    <row r="5" spans="1:7" ht="15" customHeight="1">
      <c r="A5" t="s">
        <v>149</v>
      </c>
      <c r="B5" s="8" t="e">
        <f>171-5.2*LN(B2)-0.23*B3-16.2*LN(B4)</f>
        <v>#NUM!</v>
      </c>
      <c r="G5" s="1"/>
    </row>
    <row r="6" spans="1:7" ht="15" customHeight="1">
      <c r="G6" s="1"/>
    </row>
    <row r="7" spans="1:7">
      <c r="A7" t="s">
        <v>150</v>
      </c>
    </row>
    <row r="8" spans="1:7" ht="15" customHeight="1">
      <c r="G8" s="1"/>
    </row>
    <row r="10" spans="1:7" ht="15" customHeight="1">
      <c r="A10" t="s">
        <v>147</v>
      </c>
      <c r="B10">
        <f>B2</f>
        <v>0</v>
      </c>
      <c r="G10" s="1"/>
    </row>
    <row r="11" spans="1:7" ht="15" customHeight="1">
      <c r="A11" t="s">
        <v>12</v>
      </c>
      <c r="B11">
        <f>B3</f>
        <v>0</v>
      </c>
      <c r="G11" s="1"/>
    </row>
    <row r="12" spans="1:7" ht="15" customHeight="1">
      <c r="A12" t="s">
        <v>151</v>
      </c>
      <c r="B12">
        <v>18</v>
      </c>
      <c r="G12" s="1"/>
    </row>
    <row r="13" spans="1:7">
      <c r="A13" t="s">
        <v>71</v>
      </c>
      <c r="B13" s="8">
        <f>6/B12*100</f>
        <v>33.333333333333329</v>
      </c>
    </row>
    <row r="14" spans="1:7">
      <c r="A14" t="s">
        <v>152</v>
      </c>
      <c r="B14" s="8" t="e">
        <f>171-5.2*LN(B10)-0.23*B11-16.2*LN(B12)+50*SIN(SQRT(2.46*B13))</f>
        <v>#NUM!</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5"/>
  <sheetViews>
    <sheetView zoomScaleNormal="100" workbookViewId="0">
      <selection activeCell="E16" sqref="E16"/>
    </sheetView>
  </sheetViews>
  <sheetFormatPr baseColWidth="10" defaultColWidth="11.5546875" defaultRowHeight="13.2"/>
  <cols>
    <col min="1" max="1" width="12" customWidth="1"/>
    <col min="2" max="2" width="75" customWidth="1"/>
    <col min="3" max="4" width="18" customWidth="1"/>
    <col min="5" max="5" width="74" customWidth="1"/>
  </cols>
  <sheetData>
    <row r="1" spans="1:4" ht="12.75" customHeight="1">
      <c r="A1" t="s">
        <v>72</v>
      </c>
      <c r="B1" t="s">
        <v>73</v>
      </c>
      <c r="C1" t="s">
        <v>74</v>
      </c>
      <c r="D1" t="s">
        <v>75</v>
      </c>
    </row>
    <row r="2" spans="1:4" ht="12.75" customHeight="1">
      <c r="A2">
        <v>1</v>
      </c>
      <c r="B2" t="s">
        <v>76</v>
      </c>
      <c r="C2">
        <v>0</v>
      </c>
      <c r="D2" s="2">
        <f>0.65 + 0.01 * SUM(C2:C15)</f>
        <v>0.84000000000000008</v>
      </c>
    </row>
    <row r="3" spans="1:4" ht="12.75" customHeight="1">
      <c r="A3">
        <v>2</v>
      </c>
      <c r="B3" t="s">
        <v>77</v>
      </c>
      <c r="C3">
        <v>3</v>
      </c>
    </row>
    <row r="4" spans="1:4" ht="12.75" customHeight="1">
      <c r="A4">
        <v>3</v>
      </c>
      <c r="B4" t="s">
        <v>78</v>
      </c>
      <c r="C4">
        <v>0</v>
      </c>
    </row>
    <row r="5" spans="1:4" ht="12.75" customHeight="1">
      <c r="A5">
        <v>4</v>
      </c>
      <c r="B5" t="s">
        <v>79</v>
      </c>
      <c r="C5">
        <v>1</v>
      </c>
    </row>
    <row r="6" spans="1:4" ht="12.75" customHeight="1">
      <c r="A6">
        <v>5</v>
      </c>
      <c r="B6" t="s">
        <v>80</v>
      </c>
      <c r="C6">
        <v>0</v>
      </c>
    </row>
    <row r="7" spans="1:4" ht="12.75" customHeight="1">
      <c r="A7">
        <v>6</v>
      </c>
      <c r="B7" t="s">
        <v>81</v>
      </c>
      <c r="C7">
        <v>3</v>
      </c>
    </row>
    <row r="8" spans="1:4" ht="12.75" customHeight="1">
      <c r="A8">
        <v>7</v>
      </c>
      <c r="B8" t="s">
        <v>82</v>
      </c>
      <c r="C8">
        <v>2</v>
      </c>
    </row>
    <row r="9" spans="1:4" ht="12.75" customHeight="1">
      <c r="A9">
        <v>8</v>
      </c>
      <c r="B9" t="s">
        <v>83</v>
      </c>
      <c r="C9">
        <v>2</v>
      </c>
    </row>
    <row r="10" spans="1:4" ht="12.75" customHeight="1">
      <c r="A10">
        <v>9</v>
      </c>
      <c r="B10" t="s">
        <v>84</v>
      </c>
      <c r="C10">
        <v>2</v>
      </c>
    </row>
    <row r="11" spans="1:4" ht="12.75" customHeight="1">
      <c r="A11">
        <v>10</v>
      </c>
      <c r="B11" t="s">
        <v>85</v>
      </c>
      <c r="C11">
        <v>1</v>
      </c>
    </row>
    <row r="12" spans="1:4" ht="12.75" customHeight="1">
      <c r="A12">
        <v>11</v>
      </c>
      <c r="B12" t="s">
        <v>86</v>
      </c>
      <c r="C12">
        <v>2</v>
      </c>
    </row>
    <row r="13" spans="1:4" ht="12.75" customHeight="1">
      <c r="A13">
        <v>12</v>
      </c>
      <c r="B13" t="s">
        <v>87</v>
      </c>
      <c r="C13">
        <v>0</v>
      </c>
    </row>
    <row r="14" spans="1:4" ht="12.75" customHeight="1">
      <c r="A14">
        <v>13</v>
      </c>
      <c r="B14" t="s">
        <v>88</v>
      </c>
      <c r="C14">
        <v>1</v>
      </c>
    </row>
    <row r="15" spans="1:4" ht="12.75" customHeight="1">
      <c r="A15">
        <v>14</v>
      </c>
      <c r="B15" t="s">
        <v>89</v>
      </c>
      <c r="C15">
        <v>2</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7"/>
  <sheetViews>
    <sheetView zoomScaleNormal="100" workbookViewId="0">
      <selection activeCell="K9" sqref="K9"/>
    </sheetView>
  </sheetViews>
  <sheetFormatPr baseColWidth="10" defaultColWidth="8.88671875" defaultRowHeight="13.2"/>
  <cols>
    <col min="1" max="1" width="27" customWidth="1"/>
    <col min="2" max="9" width="14" customWidth="1"/>
    <col min="11" max="11" width="91" customWidth="1"/>
  </cols>
  <sheetData>
    <row r="1" spans="1:9">
      <c r="C1" t="s">
        <v>65</v>
      </c>
      <c r="F1" t="s">
        <v>66</v>
      </c>
    </row>
    <row r="2" spans="1:9">
      <c r="A2" t="s">
        <v>90</v>
      </c>
      <c r="B2" t="s">
        <v>67</v>
      </c>
      <c r="C2" t="s">
        <v>68</v>
      </c>
      <c r="D2" t="s">
        <v>69</v>
      </c>
      <c r="E2" t="s">
        <v>67</v>
      </c>
      <c r="F2" t="s">
        <v>68</v>
      </c>
      <c r="G2" t="s">
        <v>69</v>
      </c>
      <c r="H2" t="s">
        <v>70</v>
      </c>
      <c r="I2" t="s">
        <v>91</v>
      </c>
    </row>
    <row r="3" spans="1:9">
      <c r="A3" t="s">
        <v>92</v>
      </c>
      <c r="B3">
        <v>3</v>
      </c>
      <c r="C3">
        <v>4</v>
      </c>
      <c r="D3">
        <v>6</v>
      </c>
      <c r="E3">
        <v>5</v>
      </c>
      <c r="F3">
        <v>0</v>
      </c>
      <c r="G3">
        <v>0</v>
      </c>
      <c r="H3">
        <f>B3*E3+C3*F3+D3*G3</f>
        <v>15</v>
      </c>
      <c r="I3">
        <f>SUM(H3:H7)</f>
        <v>47</v>
      </c>
    </row>
    <row r="4" spans="1:9">
      <c r="A4" t="s">
        <v>93</v>
      </c>
      <c r="B4">
        <v>4</v>
      </c>
      <c r="C4">
        <v>5</v>
      </c>
      <c r="D4">
        <v>7</v>
      </c>
      <c r="E4">
        <v>3</v>
      </c>
      <c r="F4">
        <v>0</v>
      </c>
      <c r="G4">
        <v>0</v>
      </c>
      <c r="H4">
        <f>B4*E4+C4*F4+D4*G4</f>
        <v>12</v>
      </c>
    </row>
    <row r="5" spans="1:9">
      <c r="A5" t="s">
        <v>94</v>
      </c>
      <c r="B5">
        <v>3</v>
      </c>
      <c r="C5">
        <v>4</v>
      </c>
      <c r="D5">
        <v>6</v>
      </c>
      <c r="E5">
        <v>0</v>
      </c>
      <c r="F5">
        <v>0</v>
      </c>
      <c r="G5">
        <v>0</v>
      </c>
      <c r="H5">
        <f>B5*E5+C5*F5+D5*G5</f>
        <v>0</v>
      </c>
    </row>
    <row r="6" spans="1:9">
      <c r="A6" t="s">
        <v>95</v>
      </c>
      <c r="B6">
        <v>7</v>
      </c>
      <c r="C6">
        <v>10</v>
      </c>
      <c r="D6">
        <v>15</v>
      </c>
      <c r="E6">
        <v>0</v>
      </c>
      <c r="F6">
        <v>0</v>
      </c>
      <c r="G6">
        <v>0</v>
      </c>
      <c r="H6">
        <f>B6*E6+C6*F6+D6*G6</f>
        <v>0</v>
      </c>
    </row>
    <row r="7" spans="1:9">
      <c r="A7" t="s">
        <v>96</v>
      </c>
      <c r="B7">
        <v>5</v>
      </c>
      <c r="C7">
        <v>7</v>
      </c>
      <c r="D7">
        <v>10</v>
      </c>
      <c r="E7">
        <v>4</v>
      </c>
      <c r="F7">
        <v>0</v>
      </c>
      <c r="G7">
        <v>0</v>
      </c>
      <c r="H7">
        <f>B7*E7+C7*F7+D7*G7</f>
        <v>20</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3"/>
  <sheetViews>
    <sheetView zoomScaleNormal="100" workbookViewId="0">
      <pane ySplit="1" topLeftCell="A2" activePane="bottomLeft" state="frozen"/>
      <selection pane="bottomLeft"/>
    </sheetView>
  </sheetViews>
  <sheetFormatPr baseColWidth="10" defaultColWidth="8.88671875" defaultRowHeight="13.2"/>
  <cols>
    <col min="1" max="1" width="42" customWidth="1"/>
    <col min="2" max="2" width="13" customWidth="1"/>
    <col min="3" max="3" width="15" customWidth="1"/>
    <col min="4" max="5" width="21" customWidth="1"/>
    <col min="6" max="6" width="95" customWidth="1"/>
  </cols>
  <sheetData>
    <row r="1" spans="1:6">
      <c r="A1" t="s">
        <v>99</v>
      </c>
      <c r="B1" t="s">
        <v>100</v>
      </c>
      <c r="C1" t="s">
        <v>101</v>
      </c>
      <c r="D1" t="s">
        <v>102</v>
      </c>
      <c r="E1" t="s">
        <v>103</v>
      </c>
      <c r="F1" t="s">
        <v>104</v>
      </c>
    </row>
    <row r="2" spans="1:6">
      <c r="A2" t="s">
        <v>105</v>
      </c>
      <c r="B2">
        <v>7</v>
      </c>
      <c r="C2">
        <f t="shared" ref="C2:C20" si="0">MAX(D2-E2,0)</f>
        <v>1</v>
      </c>
      <c r="D2">
        <v>1</v>
      </c>
      <c r="E2">
        <v>0</v>
      </c>
      <c r="F2" t="s">
        <v>106</v>
      </c>
    </row>
    <row r="3" spans="1:6">
      <c r="A3" t="s">
        <v>107</v>
      </c>
      <c r="B3">
        <v>0</v>
      </c>
      <c r="C3">
        <f t="shared" si="0"/>
        <v>1</v>
      </c>
      <c r="D3">
        <v>2</v>
      </c>
      <c r="E3">
        <v>1</v>
      </c>
    </row>
    <row r="4" spans="1:6">
      <c r="A4" t="s">
        <v>108</v>
      </c>
      <c r="B4">
        <v>0</v>
      </c>
      <c r="C4">
        <f t="shared" si="0"/>
        <v>0</v>
      </c>
      <c r="D4">
        <v>0</v>
      </c>
      <c r="E4">
        <v>0</v>
      </c>
    </row>
    <row r="5" spans="1:6">
      <c r="A5" t="s">
        <v>109</v>
      </c>
      <c r="B5">
        <v>2</v>
      </c>
      <c r="C5">
        <f t="shared" si="0"/>
        <v>4</v>
      </c>
      <c r="D5">
        <v>7</v>
      </c>
      <c r="E5">
        <v>3</v>
      </c>
      <c r="F5" t="s">
        <v>110</v>
      </c>
    </row>
    <row r="6" spans="1:6">
      <c r="A6" t="s">
        <v>111</v>
      </c>
      <c r="B6">
        <v>0</v>
      </c>
      <c r="C6">
        <f t="shared" si="0"/>
        <v>0</v>
      </c>
      <c r="D6">
        <v>4</v>
      </c>
      <c r="E6">
        <v>6</v>
      </c>
    </row>
    <row r="7" spans="1:6">
      <c r="A7" t="s">
        <v>112</v>
      </c>
      <c r="B7">
        <v>3</v>
      </c>
      <c r="C7">
        <f t="shared" si="0"/>
        <v>6</v>
      </c>
      <c r="D7">
        <v>6</v>
      </c>
      <c r="E7">
        <v>0</v>
      </c>
      <c r="F7" t="s">
        <v>113</v>
      </c>
    </row>
    <row r="8" spans="1:6">
      <c r="A8" t="s">
        <v>114</v>
      </c>
      <c r="B8">
        <v>1</v>
      </c>
      <c r="C8">
        <f t="shared" si="0"/>
        <v>0</v>
      </c>
      <c r="D8">
        <v>0</v>
      </c>
      <c r="E8">
        <v>1</v>
      </c>
      <c r="F8" t="s">
        <v>111</v>
      </c>
    </row>
    <row r="9" spans="1:6">
      <c r="A9" t="s">
        <v>115</v>
      </c>
      <c r="B9">
        <v>0</v>
      </c>
      <c r="C9">
        <f t="shared" si="0"/>
        <v>5</v>
      </c>
      <c r="D9">
        <v>10</v>
      </c>
      <c r="E9">
        <v>5</v>
      </c>
    </row>
    <row r="10" spans="1:6">
      <c r="A10" t="s">
        <v>116</v>
      </c>
      <c r="B10">
        <v>1</v>
      </c>
      <c r="C10">
        <f t="shared" si="0"/>
        <v>0</v>
      </c>
      <c r="D10">
        <v>3</v>
      </c>
      <c r="E10">
        <v>3</v>
      </c>
      <c r="F10" t="s">
        <v>111</v>
      </c>
    </row>
    <row r="11" spans="1:6">
      <c r="A11" t="s">
        <v>117</v>
      </c>
      <c r="B11">
        <v>3</v>
      </c>
      <c r="C11">
        <f t="shared" si="0"/>
        <v>2</v>
      </c>
      <c r="D11">
        <v>4</v>
      </c>
      <c r="E11">
        <v>2</v>
      </c>
      <c r="F11" t="s">
        <v>113</v>
      </c>
    </row>
    <row r="12" spans="1:6">
      <c r="A12" t="s">
        <v>118</v>
      </c>
      <c r="B12">
        <v>3</v>
      </c>
      <c r="C12">
        <f t="shared" si="0"/>
        <v>2</v>
      </c>
      <c r="D12">
        <v>4</v>
      </c>
      <c r="E12">
        <v>2</v>
      </c>
      <c r="F12" t="s">
        <v>113</v>
      </c>
    </row>
    <row r="13" spans="1:6">
      <c r="A13" t="s">
        <v>119</v>
      </c>
      <c r="B13">
        <v>2</v>
      </c>
      <c r="C13">
        <f t="shared" si="0"/>
        <v>1</v>
      </c>
      <c r="D13">
        <v>2</v>
      </c>
      <c r="E13">
        <v>1</v>
      </c>
      <c r="F13" t="s">
        <v>110</v>
      </c>
    </row>
    <row r="14" spans="1:6">
      <c r="A14" t="s">
        <v>120</v>
      </c>
      <c r="B14">
        <v>0</v>
      </c>
      <c r="C14">
        <f t="shared" si="0"/>
        <v>0</v>
      </c>
      <c r="D14">
        <v>0</v>
      </c>
      <c r="E14">
        <v>28</v>
      </c>
    </row>
    <row r="15" spans="1:6">
      <c r="A15" t="s">
        <v>121</v>
      </c>
      <c r="B15">
        <v>2</v>
      </c>
      <c r="C15">
        <f t="shared" si="0"/>
        <v>2</v>
      </c>
      <c r="D15">
        <v>4</v>
      </c>
      <c r="E15">
        <v>2</v>
      </c>
      <c r="F15" t="s">
        <v>110</v>
      </c>
    </row>
    <row r="16" spans="1:6">
      <c r="A16" t="s">
        <v>122</v>
      </c>
      <c r="B16">
        <v>2</v>
      </c>
      <c r="C16">
        <f t="shared" si="0"/>
        <v>4</v>
      </c>
      <c r="D16">
        <v>5</v>
      </c>
      <c r="E16">
        <v>1</v>
      </c>
      <c r="F16" t="s">
        <v>110</v>
      </c>
    </row>
    <row r="17" spans="1:6">
      <c r="A17" t="s">
        <v>123</v>
      </c>
      <c r="B17">
        <v>2</v>
      </c>
      <c r="C17">
        <f t="shared" si="0"/>
        <v>1</v>
      </c>
      <c r="D17">
        <v>1</v>
      </c>
      <c r="E17">
        <v>0</v>
      </c>
      <c r="F17" t="s">
        <v>110</v>
      </c>
    </row>
    <row r="18" spans="1:6">
      <c r="A18" t="s">
        <v>124</v>
      </c>
      <c r="B18">
        <v>0</v>
      </c>
      <c r="C18">
        <f t="shared" si="0"/>
        <v>0</v>
      </c>
      <c r="D18">
        <v>0</v>
      </c>
      <c r="E18">
        <v>21</v>
      </c>
    </row>
    <row r="19" spans="1:6">
      <c r="A19" t="s">
        <v>125</v>
      </c>
      <c r="B19">
        <v>0</v>
      </c>
      <c r="C19">
        <f t="shared" si="0"/>
        <v>1</v>
      </c>
      <c r="D19">
        <v>1</v>
      </c>
      <c r="E19">
        <v>0</v>
      </c>
    </row>
    <row r="20" spans="1:6">
      <c r="A20" t="s">
        <v>126</v>
      </c>
      <c r="B20">
        <v>0</v>
      </c>
      <c r="C20">
        <f t="shared" si="0"/>
        <v>0</v>
      </c>
      <c r="D20">
        <v>12</v>
      </c>
      <c r="E20">
        <v>66</v>
      </c>
    </row>
    <row r="23" spans="1:6">
      <c r="A23" t="s">
        <v>127</v>
      </c>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tabSelected="1" zoomScaleNormal="100" workbookViewId="0"/>
  </sheetViews>
  <sheetFormatPr baseColWidth="10" defaultColWidth="8.6640625" defaultRowHeight="13.2"/>
  <cols>
    <col min="1" max="1" width="18" customWidth="1"/>
    <col min="2" max="2" width="120" customWidth="1"/>
  </cols>
  <sheetData>
    <row r="1" spans="1:2" ht="13.8">
      <c r="A1" s="3" t="s">
        <v>128</v>
      </c>
      <c r="B1" s="3" t="s">
        <v>129</v>
      </c>
    </row>
    <row r="2" spans="1:2" ht="79.2">
      <c r="A2" s="4" t="s">
        <v>130</v>
      </c>
      <c r="B2" s="4" t="s">
        <v>131</v>
      </c>
    </row>
    <row r="3" spans="1:2" ht="52.8">
      <c r="A3" s="4" t="s">
        <v>132</v>
      </c>
      <c r="B3" s="4" t="s">
        <v>133</v>
      </c>
    </row>
    <row r="4" spans="1:2" ht="26.4">
      <c r="A4" s="4" t="s">
        <v>134</v>
      </c>
      <c r="B4" s="4" t="s">
        <v>135</v>
      </c>
    </row>
    <row r="5" spans="1:2" ht="26.4">
      <c r="A5" s="4" t="s">
        <v>136</v>
      </c>
      <c r="B5" s="4" t="s">
        <v>137</v>
      </c>
    </row>
    <row r="6" spans="1:2" ht="26.4">
      <c r="A6" s="4" t="s">
        <v>138</v>
      </c>
      <c r="B6" s="4" t="s">
        <v>139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LOC</vt:lpstr>
      <vt:lpstr>Halstead</vt:lpstr>
      <vt:lpstr>CC</vt:lpstr>
      <vt:lpstr>QuickSort</vt:lpstr>
      <vt:lpstr>MI</vt:lpstr>
      <vt:lpstr>TCF</vt:lpstr>
      <vt:lpstr>UFC devWeb</vt:lpstr>
      <vt:lpstr>Couplage</vt:lpstr>
      <vt:lpstr>Réponses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ACH Sofia</cp:lastModifiedBy>
  <cp:revision>0</cp:revision>
  <dcterms:created xsi:type="dcterms:W3CDTF">2026-10-15T06:53:16Z</dcterms:created>
  <dcterms:modified xsi:type="dcterms:W3CDTF">2026-10-15T07:13:34Z</dcterms:modified>
  <dc:language>en-US</dc:language>
</cp:coreProperties>
</file>