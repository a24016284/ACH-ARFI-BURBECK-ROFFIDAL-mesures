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1c1c64e65d6dd269/Bureau/BUT Info/ACH-ARFI-BURBECK-ROFFIDAL-mesures/"/>
    </mc:Choice>
  </mc:AlternateContent>
  <xr:revisionPtr revIDLastSave="3" documentId="8_{240C5AD3-9E77-4012-B467-BE16BC3F910B}" xr6:coauthVersionLast="47" xr6:coauthVersionMax="47" xr10:uidLastSave="{4D22293F-8B0D-48C7-9B6E-0B042B0BDB14}"/>
  <bookViews>
    <workbookView xWindow="-108" yWindow="-108" windowWidth="23256" windowHeight="12456" firstSheet="2" activeTab="10" xr2:uid="{00000000-000D-0000-FFFF-FFFF00000000}"/>
  </bookViews>
  <sheets>
    <sheet name="LOC" sheetId="1" r:id="rId1"/>
    <sheet name="Halstead" sheetId="3" r:id="rId2"/>
    <sheet name="CC" sheetId="2" r:id="rId3"/>
    <sheet name="QuickSort" sheetId="5" r:id="rId4"/>
    <sheet name="MI" sheetId="6" r:id="rId5"/>
    <sheet name="TCF" sheetId="7" r:id="rId6"/>
    <sheet name="UFC devWeb" sheetId="9" r:id="rId7"/>
    <sheet name="Couplage" sheetId="11" r:id="rId8"/>
    <sheet name="Réponses" sheetId="12" r:id="rId9"/>
    <sheet name="HPC Green Algorithms" sheetId="14" r:id="rId10"/>
    <sheet name="EcoIndex" sheetId="15"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9" i="15" l="1"/>
  <c r="F9" i="15" s="1"/>
  <c r="C9" i="15" s="1"/>
  <c r="B9" i="15" s="1"/>
  <c r="H9" i="15"/>
  <c r="I9" i="15" s="1"/>
  <c r="K9" i="15"/>
  <c r="L9" i="15" s="1"/>
  <c r="I3" i="14"/>
  <c r="K3" i="14" s="1"/>
  <c r="B9" i="5"/>
  <c r="B13" i="6"/>
  <c r="B3" i="6"/>
  <c r="B11" i="6" s="1"/>
  <c r="B2" i="6"/>
  <c r="C20" i="11"/>
  <c r="C19" i="11"/>
  <c r="C18" i="11"/>
  <c r="C17" i="11"/>
  <c r="C16" i="11"/>
  <c r="C15" i="11"/>
  <c r="C14" i="11"/>
  <c r="C13" i="11"/>
  <c r="C12" i="11"/>
  <c r="C11" i="11"/>
  <c r="C10" i="11"/>
  <c r="C9" i="11"/>
  <c r="C8" i="11"/>
  <c r="C7" i="11"/>
  <c r="C6" i="11"/>
  <c r="C5" i="11"/>
  <c r="C4" i="11"/>
  <c r="C3" i="11"/>
  <c r="C2" i="11"/>
  <c r="H7" i="9"/>
  <c r="H6" i="9"/>
  <c r="H5" i="9"/>
  <c r="H4" i="9"/>
  <c r="H3" i="9"/>
  <c r="I3" i="9" s="1"/>
  <c r="D2" i="7"/>
  <c r="E3" i="2"/>
  <c r="E3" i="3"/>
  <c r="D3" i="3"/>
  <c r="F3" i="3" s="1"/>
  <c r="C3" i="3"/>
  <c r="B3" i="3"/>
  <c r="C3" i="14" l="1"/>
  <c r="B3" i="14" s="1"/>
  <c r="B10" i="6"/>
  <c r="B14" i="6" s="1"/>
  <c r="B5" i="6"/>
  <c r="I3" i="3"/>
  <c r="G3" i="3"/>
  <c r="H3" i="3" s="1"/>
  <c r="J3" i="3" l="1"/>
</calcChain>
</file>

<file path=xl/sharedStrings.xml><?xml version="1.0" encoding="utf-8"?>
<sst xmlns="http://schemas.openxmlformats.org/spreadsheetml/2006/main" count="250" uniqueCount="216">
  <si>
    <t>Lignes de code</t>
  </si>
  <si>
    <t>Projet</t>
  </si>
  <si>
    <t>LOC</t>
  </si>
  <si>
    <t>devWeb-main (PHP + CSS)</t>
  </si>
  <si>
    <t>devWeb-main (PHP)</t>
  </si>
  <si>
    <t>iqsort0 (exercice 2)</t>
  </si>
  <si>
    <t>devWeb-main (CSS)</t>
  </si>
  <si>
    <t>Complexité cyclomatique</t>
  </si>
  <si>
    <t>Fonction</t>
  </si>
  <si>
    <t>N</t>
  </si>
  <si>
    <t>E</t>
  </si>
  <si>
    <t>P</t>
  </si>
  <si>
    <t>CC</t>
  </si>
  <si>
    <t>iqsort0</t>
  </si>
  <si>
    <t>Mesures de Halstead</t>
  </si>
  <si>
    <t>nt</t>
  </si>
  <si>
    <t>nd</t>
  </si>
  <si>
    <t>Nt</t>
  </si>
  <si>
    <t>Nd</t>
  </si>
  <si>
    <t>n</t>
  </si>
  <si>
    <t>V</t>
  </si>
  <si>
    <t>D</t>
  </si>
  <si>
    <t>Formules :</t>
  </si>
  <si>
    <t>N = Nt + Nd (longueur)</t>
  </si>
  <si>
    <t>n = nt + nd (vocabulaire)</t>
  </si>
  <si>
    <t>V = N * log2(n) (volume)</t>
  </si>
  <si>
    <t>Opérateur</t>
  </si>
  <si>
    <t>Nb</t>
  </si>
  <si>
    <t>Opérande</t>
  </si>
  <si>
    <t>D = (nt / 2) * (Nd / nd) (difficulté)</t>
  </si>
  <si>
    <t>()</t>
  </si>
  <si>
    <t>a</t>
  </si>
  <si>
    <t>E = D * V (effort)</t>
  </si>
  <si>
    <t>,</t>
  </si>
  <si>
    <t>j</t>
  </si>
  <si>
    <t>;</t>
  </si>
  <si>
    <t>i</t>
  </si>
  <si>
    <t>nt = nb d'opérateurs distincts</t>
  </si>
  <si>
    <t>int</t>
  </si>
  <si>
    <t>Nt = nb total d'occurrences d'opérateurs</t>
  </si>
  <si>
    <t>if</t>
  </si>
  <si>
    <t>1</t>
  </si>
  <si>
    <t>nd = nb d'opérandes distincts</t>
  </si>
  <si>
    <t>=</t>
  </si>
  <si>
    <t>Nd = nb total d'occurrences d'opérandes</t>
  </si>
  <si>
    <t>&lt;</t>
  </si>
  <si>
    <t>0</t>
  </si>
  <si>
    <t>++</t>
  </si>
  <si>
    <t>swap</t>
  </si>
  <si>
    <t>Conventions choisies :</t>
  </si>
  <si>
    <t>[]</t>
  </si>
  <si>
    <t>- une paire () [] {} compte comme 1 opérateur</t>
  </si>
  <si>
    <t>+</t>
  </si>
  <si>
    <t>- noms de fonctions (swap, iqsort0) = opérandes</t>
  </si>
  <si>
    <t>-</t>
  </si>
  <si>
    <t>- constantes (0, 1) = opérandes</t>
  </si>
  <si>
    <t>void</t>
  </si>
  <si>
    <t>- , et ; comptés comme opérateurs</t>
  </si>
  <si>
    <t>*</t>
  </si>
  <si>
    <t>{}</t>
  </si>
  <si>
    <t>Q2.7 : les choix opérateur/opérande ne sont pas uniques.</t>
  </si>
  <si>
    <t>return</t>
  </si>
  <si>
    <t>Une relation empirique doit justifier difficulté et effort.</t>
  </si>
  <si>
    <t>for</t>
  </si>
  <si>
    <t>&lt;=</t>
  </si>
  <si>
    <t>Poids</t>
  </si>
  <si>
    <t>Scores</t>
  </si>
  <si>
    <t>Simple</t>
  </si>
  <si>
    <t>Moyen</t>
  </si>
  <si>
    <t>Difficile</t>
  </si>
  <si>
    <t>Sous-total</t>
  </si>
  <si>
    <t>COM (%)</t>
  </si>
  <si>
    <t>N°</t>
  </si>
  <si>
    <t>Description</t>
  </si>
  <si>
    <t>devWeb-main</t>
  </si>
  <si>
    <t>TCF</t>
  </si>
  <si>
    <t>Sauvegarde et récupération fiables ?</t>
  </si>
  <si>
    <t>Nécessite une communication de données ?</t>
  </si>
  <si>
    <t>Y a t’il des fonctions de traitement distribué ? (calculs sur le telephone par exemple)</t>
  </si>
  <si>
    <t>Les performances sont elles critiques ?</t>
  </si>
  <si>
    <t>Environnement existant et lourdement utilisé ?</t>
  </si>
  <si>
    <t>Saisie de données en ligne ?</t>
  </si>
  <si>
    <t>Saisie sur plusieurs écrans ?</t>
  </si>
  <si>
    <t>Fichiers principaux mis a jour en ligne ?</t>
  </si>
  <si>
    <t>Entrées, sorties, fichiers, requêtes complexes ?</t>
  </si>
  <si>
    <t>Traitement interne complexe ?</t>
  </si>
  <si>
    <t>Code conçu pour être réutilisable ?</t>
  </si>
  <si>
    <t>Conversion et installation prévues dans la conception ?</t>
  </si>
  <si>
    <t>Système conçu pour multiples organisations et plateformes</t>
  </si>
  <si>
    <t>L’application est facile d’utilisation pour les utilisateurs ?</t>
  </si>
  <si>
    <t>Catégorie</t>
  </si>
  <si>
    <t>UFC estimé</t>
  </si>
  <si>
    <t>Entrées externes</t>
  </si>
  <si>
    <t>Sorties externes</t>
  </si>
  <si>
    <t>Requêtes externes</t>
  </si>
  <si>
    <t>Fichiers internes</t>
  </si>
  <si>
    <t>Fichiers externes</t>
  </si>
  <si>
    <t>Mesure</t>
  </si>
  <si>
    <t>Valeur</t>
  </si>
  <si>
    <t>Classe</t>
  </si>
  <si>
    <t>CBO</t>
  </si>
  <si>
    <t>LCOM1</t>
  </si>
  <si>
    <t>P sans partage</t>
  </si>
  <si>
    <t>Q avec partage</t>
  </si>
  <si>
    <t>Classes référencées</t>
  </si>
  <si>
    <t>AccueilController</t>
  </si>
  <si>
    <t>AlbumModel; FooterController; HeadController; HeaderController; SongModel; ToggleButtonController; UserModels</t>
  </si>
  <si>
    <t>AlbumModel</t>
  </si>
  <si>
    <t>Autoloader</t>
  </si>
  <si>
    <t>BienvenueController</t>
  </si>
  <si>
    <t>HeadController; ToggleButtonController</t>
  </si>
  <si>
    <t>Builder</t>
  </si>
  <si>
    <t>DoubleAuthentificationController</t>
  </si>
  <si>
    <t>HeadController; ToggleButtonController; UserModels</t>
  </si>
  <si>
    <t>FooterController</t>
  </si>
  <si>
    <t>HeadController</t>
  </si>
  <si>
    <t>HeaderController</t>
  </si>
  <si>
    <t>MdpOublieController</t>
  </si>
  <si>
    <t>MdpRenitController</t>
  </si>
  <si>
    <t>PlanDuSiteController</t>
  </si>
  <si>
    <t>QuoteModel</t>
  </si>
  <si>
    <t>SInscrireController</t>
  </si>
  <si>
    <t>SeConnecterController</t>
  </si>
  <si>
    <t>SeDeconnecterController</t>
  </si>
  <si>
    <t>SongModel</t>
  </si>
  <si>
    <t>ToggleButtonController</t>
  </si>
  <si>
    <t>UserModels</t>
  </si>
  <si>
    <t>CBO : classes internes distinctes référencées ; LCOM1 = max(P − Q, 0).</t>
  </si>
  <si>
    <t>Question</t>
  </si>
  <si>
    <t>Réponse</t>
  </si>
  <si>
    <t>Q7 (Halstead / validité)</t>
  </si>
  <si>
    <t>Une mesure est valide si les relations empiriques (ex. « ce code est plus complexe que celui-là ») se retrouvent dans les relations entre nombres (ex. V plus grand). Pour Halstead : (1) la frontière opérateur/opérande est ambiguë (parenthèses, ; , noms de fonctions, constantes) : deux personnes obtiennent n1, n2, N1, N2 différents pour le même code, donc l'application M : A → B n'est pas bien définie ; (2) les formules de difficulté D = (n1/2)(N2/n2) et d'effort E = D x V ne sont pas justifiées par une relation empirique observée : rien ne prouve qu'un D plus grand signifie un code plus difficile à comprendre. Sans justification, on ne peut pas montrer que la mesure préserve les relations empiriques, donc sa validité est douteuse.</t>
  </si>
  <si>
    <t>Q8 (poids)</t>
  </si>
  <si>
    <t>Les poids simple/moyen/difficile sont des jugements d'experts (ordinal), pas des mesures exactes. Pour les établir : s'appuyer sur des données historiques de projets similaires (temps réel passé par type d'écran), comparer des éléments entre eux (un formulaire de saisie avec validation demande plus de travail qu'un écran d'alerte), puis convertir ces rapports en poids (ex. 3, 4, 6) et les calibrer a posteriori. Le risque est une mauvaise estimation, qui rend le résultat invalide (cf. inconvénients du CM).</t>
  </si>
  <si>
    <t>Q10-11 (MI)</t>
  </si>
  <si>
    <t>MI de iqsort0 sans commentaires : voir onglet MI (LOC = 12). Avec 6 lignes de commentaires : LOC = 18 et COM = 6/18 = 33 %. Le terme en sinus augmente le MI : commenter améliore la maintenabilité mesurée.</t>
  </si>
  <si>
    <t>Q12 (TFC/TCF)</t>
  </si>
  <si>
    <t>Le sujet écrit « TFC » mais le CM parle de TCF (Facteur de Complexité Technique) : TCF = 0,65 + 0,01 x somme des 14 facteurs notés de 0 à 5. Les 14 facteurs sont ceux du CM (p. 48).</t>
  </si>
  <si>
    <t>Q13 à surveiller</t>
  </si>
  <si>
    <t>Le sujet demande le dépôt public r201D00Engins-ENS pour le mini-projet. Les onglets Projet et Couplage mesurent devWeb-main : vérifier avec l'enseignant que c'est bien accepté, sinon refaire ces mesures sur le dépôt demandé.</t>
  </si>
  <si>
    <r>
      <t xml:space="preserve">Nombre de blocs du graphe de flot de contrôle (CFG) retenu pour </t>
    </r>
    <r>
      <rPr>
        <sz val="10"/>
        <rFont val="Arial Unicode MS"/>
      </rPr>
      <t>iqsort0</t>
    </r>
    <r>
      <rPr>
        <sz val="10"/>
        <rFont val="Arial"/>
        <family val="2"/>
        <charset val="1"/>
      </rPr>
      <t>.</t>
    </r>
  </si>
  <si>
    <t>Nombre d’arcs du CFG. Une autre granularité peut conduire à 12 blocs et 14 arcs.</t>
  </si>
  <si>
    <t>Nombre de composantes connexes du graphe ; chaque fonction analysée séparément constitue généralement une composante.</t>
  </si>
  <si>
    <t>Complexité cyclomatique : nombre de chemins linéairement indépendants dans le graphe.</t>
  </si>
  <si>
    <t xml:space="preserve">N </t>
  </si>
  <si>
    <t xml:space="preserve">E </t>
  </si>
  <si>
    <t>CC (CC = E − N + 2P)</t>
  </si>
  <si>
    <t>Volume (V)</t>
  </si>
  <si>
    <t>Lignes de code (LOC)</t>
  </si>
  <si>
    <t>MI = 171 − 5,2 ln(V) − 0,23 CC − 16,2 ln(LOC)</t>
  </si>
  <si>
    <t>Question 2.11</t>
  </si>
  <si>
    <t>LOC avec commentaires</t>
  </si>
  <si>
    <t>MI avec commentaires</t>
  </si>
  <si>
    <t>Volume (V) N * log2(n) (volume)</t>
  </si>
  <si>
    <t>Complexité cyclomatique (CC)  (CC = E − N + 2P)</t>
  </si>
  <si>
    <t>simple</t>
  </si>
  <si>
    <t>moyen</t>
  </si>
  <si>
    <t>difficile</t>
  </si>
  <si>
    <t>UFC QuickSort (illustration)</t>
  </si>
  <si>
    <t>C</t>
  </si>
  <si>
    <t>t</t>
  </si>
  <si>
    <t>Nom processeur</t>
  </si>
  <si>
    <t>CPU ou GPU</t>
  </si>
  <si>
    <t>n_p</t>
  </si>
  <si>
    <t>n_c_p</t>
  </si>
  <si>
    <t>n_c</t>
  </si>
  <si>
    <t>TDP</t>
  </si>
  <si>
    <t>P_c</t>
  </si>
  <si>
    <t>u_c</t>
  </si>
  <si>
    <t>mem/coeur 
(jsp ce que c'est mais 
normalement osef</t>
  </si>
  <si>
    <t>n_m</t>
  </si>
  <si>
    <t>P_m</t>
  </si>
  <si>
    <t>PUE</t>
  </si>
  <si>
    <t>CI</t>
  </si>
  <si>
    <t>PSF</t>
  </si>
  <si>
    <t>Sujet :</t>
  </si>
  <si>
    <t>Xeon E5 2620</t>
  </si>
  <si>
    <t>CPU</t>
  </si>
  <si>
    <t>Légende :</t>
  </si>
  <si>
    <t>C = Empreinte carbone (gCO2e (=grammes de gaz à effet de serre))</t>
  </si>
  <si>
    <t>E = Consommation d'énergie (kWh)</t>
  </si>
  <si>
    <t>t = temps d'exécution (h)</t>
  </si>
  <si>
    <t>n_p = nombre de processeurs</t>
  </si>
  <si>
    <t>n_c_p = nombre de coeurs par processeur</t>
  </si>
  <si>
    <t>n_c = nombre total de coeurs (=n_p*n_c_p)</t>
  </si>
  <si>
    <t>TDP = "Puissance de Dissipation Thermique" (W)</t>
  </si>
  <si>
    <t>P_c = Puissance par Coeur (W) (=TDP/n_c_p)</t>
  </si>
  <si>
    <t>u_c = facteur d'utilisation du processeur (entre 0 et 1 avec 1 = 100%)</t>
  </si>
  <si>
    <t>n_m = mémoire disponible (Go)</t>
  </si>
  <si>
    <t>P_m = Puissance consommée par la mémoire (W) (défaut=0,3725)</t>
  </si>
  <si>
    <t>PUE = coefficient d'efficacité (défaut=1,67)</t>
  </si>
  <si>
    <t>CI = Intensité Carbone de la production (défaut=475)</t>
  </si>
  <si>
    <t>PSF = Facteur d'échelle pragmatique (défaut=1)</t>
  </si>
  <si>
    <t>Les notations en jaune sont tirées du cours,
les autres sont des nommages arbitraires</t>
  </si>
  <si>
    <t>Les notations en vert dans le tableau sont des calculs auto.
Pour le reste faut chercher dans la consigne et 
les specs du processeur pour remplir le tableau</t>
  </si>
  <si>
    <t>A calculer :</t>
  </si>
  <si>
    <t>DOM : nombre d'éléments du DOM (noeuds)</t>
  </si>
  <si>
    <t>Ko : données passant par le réseau entre client-serveur (en Ko)</t>
  </si>
  <si>
    <t>HTTP : nombre de requêtes HTTP</t>
  </si>
  <si>
    <t>Avec ces éléments, utilisez le tableau suivant (calcul auto) :</t>
  </si>
  <si>
    <t>DOM</t>
  </si>
  <si>
    <t>Quantile</t>
  </si>
  <si>
    <t>Quantile(xDOM)</t>
  </si>
  <si>
    <t>Ko</t>
  </si>
  <si>
    <t>Quantile (xKo)</t>
  </si>
  <si>
    <t>HTTP</t>
  </si>
  <si>
    <t>Quantile (xHTTP)</t>
  </si>
  <si>
    <t>nomdusite.com</t>
  </si>
  <si>
    <t>Pour les quantiles, voir le tableau suivant :</t>
  </si>
  <si>
    <t>Quantile (n)</t>
  </si>
  <si>
    <t>Borne
DOM</t>
  </si>
  <si>
    <t>Borne
Ko</t>
  </si>
  <si>
    <t>Borne
HTTP</t>
  </si>
  <si>
    <t>Arbitraire : 
aide au 
calcul auto</t>
  </si>
  <si>
    <t>Resultat 
EcoIndex
arrondi</t>
  </si>
  <si>
    <t xml:space="preserve">Résultat 
EcoIndex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</si>
</sst>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_);_(@_)"/>
    <numFmt numFmtId="165" formatCode="_(* #,##0_);_(* \(#,##0\);_(* \-_);_(@_)"/>
    <numFmt numFmtId="166" formatCode="_(\$* #,##0.00_);_(\$* \(#,##0.00\);_(\$* \-??_);_(@_)"/>
    <numFmt numFmtId="167" formatCode="_(\$* #,##0_);_(\$* \(#,##0\);_(\$* \-_);_(@_)"/>
  </numFmts>
  <fonts count="8">
    <font>
      <sz val="10"/>
      <name val="Arial"/>
      <family val="2"/>
      <charset val="1"/>
    </font>
    <font>
      <sz val="10"/>
      <name val="Arial"/>
      <charset val="1"/>
    </font>
    <font>
      <b/>
      <sz val="11"/>
      <name val="Cambria"/>
      <charset val="1"/>
    </font>
    <font>
      <b/>
      <sz val="10"/>
      <name val="Arial"/>
      <family val="2"/>
      <charset val="1"/>
    </font>
    <font>
      <sz val="10"/>
      <name val="Arial Unicode MS"/>
    </font>
    <font>
      <sz val="10"/>
      <name val="Arial"/>
      <family val="2"/>
    </font>
    <font>
      <b/>
      <sz val="10"/>
      <name val="Arial"/>
      <family val="2"/>
    </font>
    <font>
      <u/>
      <sz val="10"/>
      <color theme="10"/>
      <name val="Arial"/>
      <family val="2"/>
      <charset val="1"/>
    </font>
  </fonts>
  <fills count="4">
    <fill>
      <patternFill patternType="none"/>
    </fill>
    <fill>
      <patternFill patternType="gray125"/>
    </fill>
    <fill>
      <patternFill patternType="solid">
        <fgColor rgb="FFB6D7A8"/>
        <bgColor indexed="64"/>
      </patternFill>
    </fill>
    <fill>
      <patternFill patternType="solid">
        <fgColor rgb="FFFFFF00"/>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s>
  <cellStyleXfs count="7">
    <xf numFmtId="0" fontId="0" fillId="0" borderId="0"/>
    <xf numFmtId="164" fontId="1" fillId="0" borderId="0"/>
    <xf numFmtId="165" fontId="1" fillId="0" borderId="0"/>
    <xf numFmtId="166" fontId="1" fillId="0" borderId="0"/>
    <xf numFmtId="167" fontId="1" fillId="0" borderId="0"/>
    <xf numFmtId="9" fontId="1" fillId="0" borderId="0"/>
    <xf numFmtId="0" fontId="7" fillId="0" borderId="0" applyNumberFormat="0" applyFill="0" applyBorder="0" applyAlignment="0" applyProtection="0"/>
  </cellStyleXfs>
  <cellXfs count="33">
    <xf numFmtId="0" fontId="0" fillId="0" borderId="0" xfId="0"/>
    <xf numFmtId="0" fontId="1" fillId="0" borderId="0" xfId="0" applyFont="1"/>
    <xf numFmtId="2" fontId="0" fillId="0" borderId="0" xfId="0" applyNumberFormat="1"/>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4" fontId="0" fillId="0" borderId="0" xfId="0" applyNumberFormat="1"/>
    <xf numFmtId="0" fontId="5" fillId="0" borderId="1" xfId="0" applyFont="1" applyBorder="1" applyAlignment="1">
      <alignment wrapText="1"/>
    </xf>
    <xf numFmtId="0" fontId="5" fillId="2" borderId="1" xfId="0" applyFont="1" applyFill="1" applyBorder="1" applyAlignment="1">
      <alignment wrapText="1"/>
    </xf>
    <xf numFmtId="0" fontId="5" fillId="2" borderId="1" xfId="0" applyFont="1" applyFill="1" applyBorder="1" applyAlignment="1">
      <alignment horizontal="right" wrapText="1"/>
    </xf>
    <xf numFmtId="0" fontId="5" fillId="0" borderId="1" xfId="0" applyFont="1" applyBorder="1" applyAlignment="1">
      <alignment horizontal="right" wrapText="1"/>
    </xf>
    <xf numFmtId="0" fontId="5" fillId="0" borderId="1" xfId="0" applyFont="1" applyBorder="1" applyAlignment="1">
      <alignment vertical="center"/>
    </xf>
    <xf numFmtId="0" fontId="5" fillId="3" borderId="1" xfId="0" applyFont="1" applyFill="1" applyBorder="1" applyAlignment="1">
      <alignment wrapText="1"/>
    </xf>
    <xf numFmtId="0" fontId="7" fillId="0" borderId="1" xfId="6" applyBorder="1" applyAlignment="1">
      <alignment wrapText="1"/>
    </xf>
    <xf numFmtId="0" fontId="5" fillId="3" borderId="1" xfId="0" applyFont="1" applyFill="1" applyBorder="1" applyAlignment="1">
      <alignment horizontal="right" wrapText="1"/>
    </xf>
    <xf numFmtId="0" fontId="5" fillId="0" borderId="5" xfId="0" applyFont="1" applyBorder="1" applyAlignment="1">
      <alignment wrapText="1"/>
    </xf>
    <xf numFmtId="0" fontId="6" fillId="0" borderId="7" xfId="0" applyFont="1" applyBorder="1" applyAlignment="1">
      <alignment horizontal="center" vertical="center" wrapText="1"/>
    </xf>
    <xf numFmtId="0" fontId="5" fillId="0" borderId="6" xfId="0" applyFont="1" applyBorder="1" applyAlignment="1">
      <alignment vertical="center" wrapText="1"/>
    </xf>
    <xf numFmtId="0" fontId="5" fillId="0" borderId="7" xfId="0" applyFont="1" applyBorder="1" applyAlignment="1">
      <alignment horizontal="center" vertical="center" wrapText="1"/>
    </xf>
    <xf numFmtId="0" fontId="5" fillId="0" borderId="7" xfId="0" applyFont="1" applyBorder="1" applyAlignment="1">
      <alignment horizontal="right" wrapText="1"/>
    </xf>
    <xf numFmtId="0" fontId="5" fillId="0" borderId="7" xfId="0" applyFont="1" applyBorder="1" applyAlignment="1">
      <alignment vertical="center" wrapText="1"/>
    </xf>
    <xf numFmtId="0" fontId="5" fillId="0" borderId="7" xfId="0" applyFont="1" applyBorder="1" applyAlignment="1">
      <alignment wrapText="1"/>
    </xf>
    <xf numFmtId="0" fontId="6" fillId="0" borderId="11"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5" fillId="0" borderId="2"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5" fillId="0" borderId="3" xfId="0" applyFont="1" applyBorder="1" applyAlignment="1">
      <alignment horizontal="left"/>
    </xf>
    <xf numFmtId="0" fontId="5" fillId="0" borderId="4" xfId="0" applyFont="1" applyBorder="1" applyAlignment="1">
      <alignment horizontal="left"/>
    </xf>
  </cellXfs>
  <cellStyles count="7">
    <cellStyle name="Comma" xfId="1" xr:uid="{00000000-0005-0000-0000-000006000000}"/>
    <cellStyle name="Comma [0]" xfId="2" xr:uid="{00000000-0005-0000-0000-000007000000}"/>
    <cellStyle name="Currency" xfId="3" xr:uid="{00000000-0005-0000-0000-000008000000}"/>
    <cellStyle name="Currency [0]" xfId="4" xr:uid="{00000000-0005-0000-0000-000009000000}"/>
    <cellStyle name="Lien hypertexte" xfId="6" builtinId="8"/>
    <cellStyle name="Normal" xfId="0" builtinId="0"/>
    <cellStyle name="Percent"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hyperlink" Target="http://nomdusit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zoomScaleNormal="100" workbookViewId="0">
      <selection activeCell="B15" sqref="B15"/>
    </sheetView>
  </sheetViews>
  <sheetFormatPr baseColWidth="10" defaultColWidth="11.5546875" defaultRowHeight="13.2"/>
  <cols>
    <col min="1" max="1" width="32" customWidth="1"/>
    <col min="2" max="2" width="21" customWidth="1"/>
    <col min="4" max="4" width="54" customWidth="1"/>
  </cols>
  <sheetData>
    <row r="1" spans="1:4" ht="12.75" customHeight="1">
      <c r="B1" t="s">
        <v>0</v>
      </c>
    </row>
    <row r="2" spans="1:4" ht="12.75" customHeight="1">
      <c r="A2" t="s">
        <v>1</v>
      </c>
      <c r="B2" t="s">
        <v>2</v>
      </c>
    </row>
    <row r="3" spans="1:4" ht="12.75" customHeight="1">
      <c r="A3" t="s">
        <v>3</v>
      </c>
      <c r="B3">
        <v>2140</v>
      </c>
    </row>
    <row r="4" spans="1:4" ht="12.75" customHeight="1">
      <c r="A4" t="s">
        <v>4</v>
      </c>
      <c r="B4">
        <v>2134</v>
      </c>
    </row>
    <row r="5" spans="1:4" ht="12.75" customHeight="1">
      <c r="A5" t="s">
        <v>6</v>
      </c>
      <c r="B5">
        <v>6</v>
      </c>
      <c r="D5" s="1"/>
    </row>
    <row r="9" spans="1:4">
      <c r="A9" s="1" t="s">
        <v>5</v>
      </c>
      <c r="B9" s="1">
        <v>12</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zoomScaleNormal="100" workbookViewId="0">
      <selection activeCell="H16" sqref="H16"/>
    </sheetView>
  </sheetViews>
  <sheetFormatPr baseColWidth="10" defaultColWidth="8.6640625" defaultRowHeight="13.2"/>
  <cols>
    <col min="1" max="1" width="11" customWidth="1"/>
    <col min="4" max="4" width="11" customWidth="1"/>
    <col min="11" max="11" width="4.109375" customWidth="1"/>
    <col min="12" max="12" width="5.44140625" customWidth="1"/>
  </cols>
  <sheetData>
    <row r="1" spans="1:27" ht="15" customHeight="1">
      <c r="B1" t="s">
        <v>14</v>
      </c>
      <c r="M1" t="s">
        <v>28</v>
      </c>
      <c r="N1" t="s">
        <v>27</v>
      </c>
      <c r="P1" t="s">
        <v>26</v>
      </c>
      <c r="Q1" t="s">
        <v>27</v>
      </c>
    </row>
    <row r="2" spans="1:27" ht="15" customHeight="1">
      <c r="A2" t="s">
        <v>8</v>
      </c>
      <c r="B2" t="s">
        <v>15</v>
      </c>
      <c r="C2" t="s">
        <v>16</v>
      </c>
      <c r="D2" t="s">
        <v>17</v>
      </c>
      <c r="E2" t="s">
        <v>18</v>
      </c>
      <c r="F2" t="s">
        <v>9</v>
      </c>
      <c r="G2" t="s">
        <v>19</v>
      </c>
      <c r="H2" t="s">
        <v>20</v>
      </c>
      <c r="I2" t="s">
        <v>21</v>
      </c>
      <c r="J2" t="s">
        <v>10</v>
      </c>
      <c r="M2" t="s">
        <v>31</v>
      </c>
      <c r="N2">
        <v>7</v>
      </c>
      <c r="P2" t="s">
        <v>30</v>
      </c>
      <c r="Q2">
        <v>8</v>
      </c>
      <c r="AA2" t="s">
        <v>22</v>
      </c>
    </row>
    <row r="3" spans="1:27" ht="15" customHeight="1">
      <c r="A3" t="s">
        <v>13</v>
      </c>
      <c r="B3">
        <f>COUNTA(P2:P18)</f>
        <v>17</v>
      </c>
      <c r="C3">
        <f>COUNTA(M2:M9)</f>
        <v>8</v>
      </c>
      <c r="D3">
        <f>SUM(Q2:Q18)</f>
        <v>48</v>
      </c>
      <c r="E3">
        <f>SUM(N2:N9)</f>
        <v>36</v>
      </c>
      <c r="F3">
        <f>D3+E3</f>
        <v>84</v>
      </c>
      <c r="G3">
        <f>B3+C3</f>
        <v>25</v>
      </c>
      <c r="H3" s="2">
        <f>F3*LOG(G3,2)</f>
        <v>390.08391994107683</v>
      </c>
      <c r="I3" s="2">
        <f>(B3/2)*(E3/C3)</f>
        <v>38.25</v>
      </c>
      <c r="J3" s="2">
        <f>I3*H3</f>
        <v>14920.709937746189</v>
      </c>
      <c r="M3" t="s">
        <v>34</v>
      </c>
      <c r="N3">
        <v>7</v>
      </c>
      <c r="P3" t="s">
        <v>33</v>
      </c>
      <c r="Q3">
        <v>9</v>
      </c>
      <c r="AA3" t="s">
        <v>23</v>
      </c>
    </row>
    <row r="4" spans="1:27" ht="15" customHeight="1">
      <c r="M4" t="s">
        <v>36</v>
      </c>
      <c r="N4">
        <v>6</v>
      </c>
      <c r="P4" t="s">
        <v>35</v>
      </c>
      <c r="Q4">
        <v>8</v>
      </c>
      <c r="AA4" t="s">
        <v>24</v>
      </c>
    </row>
    <row r="5" spans="1:27" ht="15" customHeight="1">
      <c r="M5" t="s">
        <v>19</v>
      </c>
      <c r="N5">
        <v>4</v>
      </c>
      <c r="P5" t="s">
        <v>38</v>
      </c>
      <c r="Q5">
        <v>3</v>
      </c>
      <c r="AA5" t="s">
        <v>25</v>
      </c>
    </row>
    <row r="6" spans="1:27" ht="15" customHeight="1">
      <c r="M6" t="s">
        <v>41</v>
      </c>
      <c r="N6">
        <v>4</v>
      </c>
      <c r="P6" t="s">
        <v>40</v>
      </c>
      <c r="Q6">
        <v>2</v>
      </c>
      <c r="AA6" t="s">
        <v>29</v>
      </c>
    </row>
    <row r="7" spans="1:27" ht="15" customHeight="1">
      <c r="M7" t="s">
        <v>13</v>
      </c>
      <c r="N7">
        <v>3</v>
      </c>
      <c r="P7" t="s">
        <v>43</v>
      </c>
      <c r="Q7">
        <v>2</v>
      </c>
      <c r="AA7" t="s">
        <v>32</v>
      </c>
    </row>
    <row r="8" spans="1:27" ht="15" customHeight="1">
      <c r="M8" t="s">
        <v>46</v>
      </c>
      <c r="N8">
        <v>3</v>
      </c>
      <c r="P8" t="s">
        <v>45</v>
      </c>
      <c r="Q8">
        <v>2</v>
      </c>
    </row>
    <row r="9" spans="1:27" ht="15" customHeight="1">
      <c r="M9" t="s">
        <v>48</v>
      </c>
      <c r="N9">
        <v>2</v>
      </c>
      <c r="P9" t="s">
        <v>47</v>
      </c>
      <c r="Q9">
        <v>2</v>
      </c>
      <c r="AA9" t="s">
        <v>37</v>
      </c>
    </row>
    <row r="10" spans="1:27" ht="15" customHeight="1">
      <c r="P10" t="s">
        <v>50</v>
      </c>
      <c r="Q10">
        <v>2</v>
      </c>
      <c r="AA10" t="s">
        <v>39</v>
      </c>
    </row>
    <row r="11" spans="1:27" ht="15" customHeight="1">
      <c r="P11" t="s">
        <v>52</v>
      </c>
      <c r="Q11">
        <v>2</v>
      </c>
      <c r="AA11" t="s">
        <v>42</v>
      </c>
    </row>
    <row r="12" spans="1:27" ht="15" customHeight="1">
      <c r="P12" t="s">
        <v>54</v>
      </c>
      <c r="Q12">
        <v>2</v>
      </c>
      <c r="AA12" t="s">
        <v>44</v>
      </c>
    </row>
    <row r="13" spans="1:27" ht="15" customHeight="1">
      <c r="P13" t="s">
        <v>56</v>
      </c>
      <c r="Q13">
        <v>1</v>
      </c>
    </row>
    <row r="14" spans="1:27" ht="15" customHeight="1">
      <c r="P14" t="s">
        <v>58</v>
      </c>
      <c r="Q14">
        <v>1</v>
      </c>
      <c r="AA14" t="s">
        <v>49</v>
      </c>
    </row>
    <row r="15" spans="1:27" ht="15" customHeight="1">
      <c r="P15" t="s">
        <v>59</v>
      </c>
      <c r="Q15">
        <v>1</v>
      </c>
      <c r="AA15" t="s">
        <v>51</v>
      </c>
    </row>
    <row r="16" spans="1:27" ht="15" customHeight="1">
      <c r="P16" t="s">
        <v>61</v>
      </c>
      <c r="Q16">
        <v>1</v>
      </c>
      <c r="AA16" t="s">
        <v>53</v>
      </c>
    </row>
    <row r="17" spans="16:27" ht="15" customHeight="1">
      <c r="P17" t="s">
        <v>63</v>
      </c>
      <c r="Q17">
        <v>1</v>
      </c>
      <c r="AA17" t="s">
        <v>55</v>
      </c>
    </row>
    <row r="18" spans="16:27" ht="15" customHeight="1">
      <c r="P18" t="s">
        <v>64</v>
      </c>
      <c r="Q18">
        <v>1</v>
      </c>
      <c r="AA18" t="s">
        <v>57</v>
      </c>
    </row>
    <row r="19" spans="16:27" ht="15" customHeight="1"/>
    <row r="20" spans="16:27" ht="15" customHeight="1">
      <c r="AA20" t="s">
        <v>60</v>
      </c>
    </row>
    <row r="21" spans="16:27" ht="15" customHeight="1">
      <c r="AA21" t="s">
        <v>62</v>
      </c>
    </row>
    <row r="22" spans="16:27" ht="15" customHeight="1"/>
    <row r="23" spans="16:27" ht="15" customHeight="1"/>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5"/>
  <sheetViews>
    <sheetView zoomScaleNormal="100" workbookViewId="0">
      <selection activeCell="E2" sqref="E2"/>
    </sheetView>
  </sheetViews>
  <sheetFormatPr baseColWidth="10" defaultColWidth="8.6640625" defaultRowHeight="13.2"/>
  <cols>
    <col min="1" max="1" width="14" customWidth="1"/>
    <col min="7" max="7" width="12" customWidth="1"/>
    <col min="8" max="8" width="61.5546875" customWidth="1"/>
  </cols>
  <sheetData>
    <row r="1" spans="1:33" ht="15" customHeight="1">
      <c r="B1" t="s">
        <v>7</v>
      </c>
      <c r="AF1" s="7"/>
      <c r="AG1" s="7"/>
    </row>
    <row r="2" spans="1:33" ht="15" customHeight="1">
      <c r="A2" t="s">
        <v>8</v>
      </c>
      <c r="B2" t="s">
        <v>9</v>
      </c>
      <c r="C2" t="s">
        <v>10</v>
      </c>
      <c r="D2" t="s">
        <v>11</v>
      </c>
      <c r="E2" t="s">
        <v>146</v>
      </c>
      <c r="AF2" s="7" t="s">
        <v>144</v>
      </c>
      <c r="AG2" s="6" t="s">
        <v>140</v>
      </c>
    </row>
    <row r="3" spans="1:33" ht="15" customHeight="1">
      <c r="A3" t="s">
        <v>13</v>
      </c>
      <c r="B3">
        <v>9</v>
      </c>
      <c r="C3">
        <v>11</v>
      </c>
      <c r="D3">
        <v>1</v>
      </c>
      <c r="E3">
        <f>C3-B3+2*D3</f>
        <v>4</v>
      </c>
      <c r="AF3" s="7" t="s">
        <v>145</v>
      </c>
      <c r="AG3" s="6" t="s">
        <v>141</v>
      </c>
    </row>
    <row r="4" spans="1:33" ht="15" customHeight="1">
      <c r="AF4" s="7" t="s">
        <v>11</v>
      </c>
      <c r="AG4" s="6" t="s">
        <v>142</v>
      </c>
    </row>
    <row r="5" spans="1:33" ht="24.6" customHeight="1">
      <c r="AF5" s="7" t="s">
        <v>12</v>
      </c>
      <c r="AG5" s="6" t="s">
        <v>143</v>
      </c>
    </row>
    <row r="6" spans="1:33" ht="24.6" customHeight="1"/>
    <row r="7" spans="1:33" ht="13.8" customHeight="1"/>
    <row r="15" spans="1:33">
      <c r="G15" s="5"/>
      <c r="H15" s="5"/>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zoomScaleNormal="100" workbookViewId="0">
      <selection activeCell="C22" sqref="C22"/>
    </sheetView>
  </sheetViews>
  <sheetFormatPr baseColWidth="10" defaultColWidth="9.77734375" defaultRowHeight="13.2"/>
  <cols>
    <col min="1" max="1" width="33.33203125" customWidth="1"/>
    <col min="2" max="7" width="17.77734375" customWidth="1"/>
  </cols>
  <sheetData>
    <row r="1" spans="1:7" ht="12.75" customHeight="1">
      <c r="C1" t="s">
        <v>65</v>
      </c>
      <c r="F1" t="s">
        <v>66</v>
      </c>
    </row>
    <row r="2" spans="1:7" ht="12.75" customHeight="1">
      <c r="A2" t="s">
        <v>90</v>
      </c>
      <c r="B2" t="s">
        <v>155</v>
      </c>
      <c r="C2" t="s">
        <v>156</v>
      </c>
      <c r="D2" t="s">
        <v>157</v>
      </c>
      <c r="E2" t="s">
        <v>155</v>
      </c>
      <c r="F2" t="s">
        <v>156</v>
      </c>
      <c r="G2" t="s">
        <v>157</v>
      </c>
    </row>
    <row r="3" spans="1:7" ht="12.75" customHeight="1">
      <c r="A3" t="s">
        <v>92</v>
      </c>
      <c r="B3">
        <v>3</v>
      </c>
      <c r="C3">
        <v>4</v>
      </c>
      <c r="D3">
        <v>6</v>
      </c>
      <c r="E3">
        <v>2</v>
      </c>
      <c r="F3">
        <v>0</v>
      </c>
      <c r="G3">
        <v>0</v>
      </c>
    </row>
    <row r="4" spans="1:7" ht="12.75" customHeight="1">
      <c r="A4" t="s">
        <v>93</v>
      </c>
      <c r="B4">
        <v>4</v>
      </c>
      <c r="C4">
        <v>5</v>
      </c>
      <c r="D4">
        <v>7</v>
      </c>
      <c r="E4">
        <v>0</v>
      </c>
      <c r="F4">
        <v>0</v>
      </c>
      <c r="G4">
        <v>0</v>
      </c>
    </row>
    <row r="5" spans="1:7" ht="12.75" customHeight="1">
      <c r="A5" t="s">
        <v>94</v>
      </c>
      <c r="B5">
        <v>3</v>
      </c>
      <c r="C5">
        <v>4</v>
      </c>
      <c r="D5">
        <v>6</v>
      </c>
      <c r="E5">
        <v>0</v>
      </c>
      <c r="F5">
        <v>0</v>
      </c>
      <c r="G5">
        <v>0</v>
      </c>
    </row>
    <row r="6" spans="1:7" ht="12.75" customHeight="1">
      <c r="A6" t="s">
        <v>95</v>
      </c>
      <c r="B6">
        <v>7</v>
      </c>
      <c r="C6">
        <v>10</v>
      </c>
      <c r="D6">
        <v>15</v>
      </c>
      <c r="E6">
        <v>1</v>
      </c>
      <c r="F6">
        <v>0</v>
      </c>
      <c r="G6">
        <v>0</v>
      </c>
    </row>
    <row r="7" spans="1:7" ht="12.75" customHeight="1">
      <c r="A7" t="s">
        <v>96</v>
      </c>
      <c r="B7">
        <v>5</v>
      </c>
      <c r="C7">
        <v>7</v>
      </c>
      <c r="D7">
        <v>10</v>
      </c>
      <c r="E7">
        <v>0</v>
      </c>
      <c r="F7">
        <v>0</v>
      </c>
      <c r="G7">
        <v>0</v>
      </c>
    </row>
    <row r="8" spans="1:7" ht="12.75" customHeight="1"/>
    <row r="9" spans="1:7" ht="12.75" customHeight="1">
      <c r="A9" t="s">
        <v>158</v>
      </c>
      <c r="B9">
        <f>SUMPRODUCT(B3:B7,E3:E7)+SUMPRODUCT(C3:C7,F3:F7)+SUMPRODUCT(D3:D7,G3:G7)</f>
        <v>13</v>
      </c>
    </row>
    <row r="10" spans="1:7" ht="12.75" customHeight="1"/>
    <row r="11" spans="1:7" ht="12.75" customHeight="1"/>
    <row r="12" spans="1:7" ht="12.75" customHeight="1"/>
    <row r="13" spans="1:7" ht="12.75" customHeight="1"/>
    <row r="15" spans="1:7" ht="12.75" customHeight="1"/>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zoomScaleNormal="100" workbookViewId="0">
      <selection activeCell="G9" sqref="G9"/>
    </sheetView>
  </sheetViews>
  <sheetFormatPr baseColWidth="10" defaultColWidth="8.33203125" defaultRowHeight="13.2"/>
  <cols>
    <col min="1" max="1" width="42.44140625" customWidth="1"/>
    <col min="2" max="2" width="17" customWidth="1"/>
    <col min="3" max="4" width="12" customWidth="1"/>
    <col min="5" max="5" width="15" customWidth="1"/>
    <col min="6" max="6" width="13" customWidth="1"/>
    <col min="7" max="7" width="72" customWidth="1"/>
  </cols>
  <sheetData>
    <row r="1" spans="1:7" ht="15" customHeight="1">
      <c r="A1" t="s">
        <v>97</v>
      </c>
      <c r="B1" t="s">
        <v>98</v>
      </c>
    </row>
    <row r="2" spans="1:7" ht="15" customHeight="1">
      <c r="A2" t="s">
        <v>153</v>
      </c>
      <c r="B2">
        <f>Halstead!D7</f>
        <v>0</v>
      </c>
      <c r="G2" s="1"/>
    </row>
    <row r="3" spans="1:7" ht="15" customHeight="1">
      <c r="A3" t="s">
        <v>154</v>
      </c>
      <c r="B3">
        <f>CC!B8</f>
        <v>0</v>
      </c>
      <c r="G3" s="1"/>
    </row>
    <row r="4" spans="1:7" ht="15" customHeight="1">
      <c r="A4" t="s">
        <v>148</v>
      </c>
      <c r="B4">
        <v>12</v>
      </c>
      <c r="G4" s="1"/>
    </row>
    <row r="5" spans="1:7" ht="15" customHeight="1">
      <c r="A5" t="s">
        <v>149</v>
      </c>
      <c r="B5" s="8" t="e">
        <f>171-5.2*LN(B2)-0.23*B3-16.2*LN(B4)</f>
        <v>#NUM!</v>
      </c>
      <c r="G5" s="1"/>
    </row>
    <row r="6" spans="1:7" ht="15" customHeight="1">
      <c r="G6" s="1"/>
    </row>
    <row r="7" spans="1:7">
      <c r="A7" t="s">
        <v>150</v>
      </c>
    </row>
    <row r="8" spans="1:7" ht="15" customHeight="1">
      <c r="G8" s="1"/>
    </row>
    <row r="10" spans="1:7" ht="15" customHeight="1">
      <c r="A10" t="s">
        <v>147</v>
      </c>
      <c r="B10">
        <f>B2</f>
        <v>0</v>
      </c>
      <c r="G10" s="1"/>
    </row>
    <row r="11" spans="1:7" ht="15" customHeight="1">
      <c r="A11" t="s">
        <v>12</v>
      </c>
      <c r="B11">
        <f>B3</f>
        <v>0</v>
      </c>
      <c r="G11" s="1"/>
    </row>
    <row r="12" spans="1:7" ht="15" customHeight="1">
      <c r="A12" t="s">
        <v>151</v>
      </c>
      <c r="B12">
        <v>18</v>
      </c>
      <c r="G12" s="1"/>
    </row>
    <row r="13" spans="1:7">
      <c r="A13" t="s">
        <v>71</v>
      </c>
      <c r="B13" s="8">
        <f>6/B12*100</f>
        <v>33.333333333333329</v>
      </c>
    </row>
    <row r="14" spans="1:7">
      <c r="A14" t="s">
        <v>152</v>
      </c>
      <c r="B14" s="8" t="e">
        <f>171-5.2*LN(B10)-0.23*B11-16.2*LN(B12)+50*SIN(SQRT(2.46*B13))</f>
        <v>#NUM!</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zoomScaleNormal="100" workbookViewId="0">
      <selection activeCell="E16" sqref="E16"/>
    </sheetView>
  </sheetViews>
  <sheetFormatPr baseColWidth="10" defaultColWidth="11.5546875" defaultRowHeight="13.2"/>
  <cols>
    <col min="1" max="1" width="12" customWidth="1"/>
    <col min="2" max="2" width="75" customWidth="1"/>
    <col min="3" max="4" width="18" customWidth="1"/>
    <col min="5" max="5" width="74" customWidth="1"/>
  </cols>
  <sheetData>
    <row r="1" spans="1:4" ht="12.75" customHeight="1">
      <c r="A1" t="s">
        <v>72</v>
      </c>
      <c r="B1" t="s">
        <v>73</v>
      </c>
      <c r="C1" t="s">
        <v>74</v>
      </c>
      <c r="D1" t="s">
        <v>75</v>
      </c>
    </row>
    <row r="2" spans="1:4" ht="12.75" customHeight="1">
      <c r="A2">
        <v>1</v>
      </c>
      <c r="B2" t="s">
        <v>76</v>
      </c>
      <c r="C2">
        <v>0</v>
      </c>
      <c r="D2" s="2">
        <f>0.65 + 0.01 * SUM(C2:C15)</f>
        <v>0.84000000000000008</v>
      </c>
    </row>
    <row r="3" spans="1:4" ht="12.75" customHeight="1">
      <c r="A3">
        <v>2</v>
      </c>
      <c r="B3" t="s">
        <v>77</v>
      </c>
      <c r="C3">
        <v>3</v>
      </c>
    </row>
    <row r="4" spans="1:4" ht="12.75" customHeight="1">
      <c r="A4">
        <v>3</v>
      </c>
      <c r="B4" t="s">
        <v>78</v>
      </c>
      <c r="C4">
        <v>0</v>
      </c>
    </row>
    <row r="5" spans="1:4" ht="12.75" customHeight="1">
      <c r="A5">
        <v>4</v>
      </c>
      <c r="B5" t="s">
        <v>79</v>
      </c>
      <c r="C5">
        <v>1</v>
      </c>
    </row>
    <row r="6" spans="1:4" ht="12.75" customHeight="1">
      <c r="A6">
        <v>5</v>
      </c>
      <c r="B6" t="s">
        <v>80</v>
      </c>
      <c r="C6">
        <v>0</v>
      </c>
    </row>
    <row r="7" spans="1:4" ht="12.75" customHeight="1">
      <c r="A7">
        <v>6</v>
      </c>
      <c r="B7" t="s">
        <v>81</v>
      </c>
      <c r="C7">
        <v>3</v>
      </c>
    </row>
    <row r="8" spans="1:4" ht="12.75" customHeight="1">
      <c r="A8">
        <v>7</v>
      </c>
      <c r="B8" t="s">
        <v>82</v>
      </c>
      <c r="C8">
        <v>2</v>
      </c>
    </row>
    <row r="9" spans="1:4" ht="12.75" customHeight="1">
      <c r="A9">
        <v>8</v>
      </c>
      <c r="B9" t="s">
        <v>83</v>
      </c>
      <c r="C9">
        <v>2</v>
      </c>
    </row>
    <row r="10" spans="1:4" ht="12.75" customHeight="1">
      <c r="A10">
        <v>9</v>
      </c>
      <c r="B10" t="s">
        <v>84</v>
      </c>
      <c r="C10">
        <v>2</v>
      </c>
    </row>
    <row r="11" spans="1:4" ht="12.75" customHeight="1">
      <c r="A11">
        <v>10</v>
      </c>
      <c r="B11" t="s">
        <v>85</v>
      </c>
      <c r="C11">
        <v>1</v>
      </c>
    </row>
    <row r="12" spans="1:4" ht="12.75" customHeight="1">
      <c r="A12">
        <v>11</v>
      </c>
      <c r="B12" t="s">
        <v>86</v>
      </c>
      <c r="C12">
        <v>2</v>
      </c>
    </row>
    <row r="13" spans="1:4" ht="12.75" customHeight="1">
      <c r="A13">
        <v>12</v>
      </c>
      <c r="B13" t="s">
        <v>87</v>
      </c>
      <c r="C13">
        <v>0</v>
      </c>
    </row>
    <row r="14" spans="1:4" ht="12.75" customHeight="1">
      <c r="A14">
        <v>13</v>
      </c>
      <c r="B14" t="s">
        <v>88</v>
      </c>
      <c r="C14">
        <v>1</v>
      </c>
    </row>
    <row r="15" spans="1:4" ht="12.75" customHeight="1">
      <c r="A15">
        <v>14</v>
      </c>
      <c r="B15" t="s">
        <v>89</v>
      </c>
      <c r="C15">
        <v>2</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7"/>
  <sheetViews>
    <sheetView zoomScaleNormal="100" workbookViewId="0">
      <selection activeCell="K9" sqref="K9"/>
    </sheetView>
  </sheetViews>
  <sheetFormatPr baseColWidth="10" defaultColWidth="8.88671875" defaultRowHeight="13.2"/>
  <cols>
    <col min="1" max="1" width="27" customWidth="1"/>
    <col min="2" max="9" width="14" customWidth="1"/>
    <col min="11" max="11" width="91" customWidth="1"/>
  </cols>
  <sheetData>
    <row r="1" spans="1:9">
      <c r="C1" t="s">
        <v>65</v>
      </c>
      <c r="F1" t="s">
        <v>66</v>
      </c>
    </row>
    <row r="2" spans="1:9">
      <c r="A2" t="s">
        <v>90</v>
      </c>
      <c r="B2" t="s">
        <v>67</v>
      </c>
      <c r="C2" t="s">
        <v>68</v>
      </c>
      <c r="D2" t="s">
        <v>69</v>
      </c>
      <c r="E2" t="s">
        <v>67</v>
      </c>
      <c r="F2" t="s">
        <v>68</v>
      </c>
      <c r="G2" t="s">
        <v>69</v>
      </c>
      <c r="H2" t="s">
        <v>70</v>
      </c>
      <c r="I2" t="s">
        <v>91</v>
      </c>
    </row>
    <row r="3" spans="1:9">
      <c r="A3" t="s">
        <v>92</v>
      </c>
      <c r="B3">
        <v>3</v>
      </c>
      <c r="C3">
        <v>4</v>
      </c>
      <c r="D3">
        <v>6</v>
      </c>
      <c r="E3">
        <v>5</v>
      </c>
      <c r="F3">
        <v>0</v>
      </c>
      <c r="G3">
        <v>0</v>
      </c>
      <c r="H3">
        <f>B3*E3+C3*F3+D3*G3</f>
        <v>15</v>
      </c>
      <c r="I3">
        <f>SUM(H3:H7)</f>
        <v>47</v>
      </c>
    </row>
    <row r="4" spans="1:9">
      <c r="A4" t="s">
        <v>93</v>
      </c>
      <c r="B4">
        <v>4</v>
      </c>
      <c r="C4">
        <v>5</v>
      </c>
      <c r="D4">
        <v>7</v>
      </c>
      <c r="E4">
        <v>3</v>
      </c>
      <c r="F4">
        <v>0</v>
      </c>
      <c r="G4">
        <v>0</v>
      </c>
      <c r="H4">
        <f>B4*E4+C4*F4+D4*G4</f>
        <v>12</v>
      </c>
    </row>
    <row r="5" spans="1:9">
      <c r="A5" t="s">
        <v>94</v>
      </c>
      <c r="B5">
        <v>3</v>
      </c>
      <c r="C5">
        <v>4</v>
      </c>
      <c r="D5">
        <v>6</v>
      </c>
      <c r="E5">
        <v>0</v>
      </c>
      <c r="F5">
        <v>0</v>
      </c>
      <c r="G5">
        <v>0</v>
      </c>
      <c r="H5">
        <f>B5*E5+C5*F5+D5*G5</f>
        <v>0</v>
      </c>
    </row>
    <row r="6" spans="1:9">
      <c r="A6" t="s">
        <v>95</v>
      </c>
      <c r="B6">
        <v>7</v>
      </c>
      <c r="C6">
        <v>10</v>
      </c>
      <c r="D6">
        <v>15</v>
      </c>
      <c r="E6">
        <v>0</v>
      </c>
      <c r="F6">
        <v>0</v>
      </c>
      <c r="G6">
        <v>0</v>
      </c>
      <c r="H6">
        <f>B6*E6+C6*F6+D6*G6</f>
        <v>0</v>
      </c>
    </row>
    <row r="7" spans="1:9">
      <c r="A7" t="s">
        <v>96</v>
      </c>
      <c r="B7">
        <v>5</v>
      </c>
      <c r="C7">
        <v>7</v>
      </c>
      <c r="D7">
        <v>10</v>
      </c>
      <c r="E7">
        <v>4</v>
      </c>
      <c r="F7">
        <v>0</v>
      </c>
      <c r="G7">
        <v>0</v>
      </c>
      <c r="H7">
        <f>B7*E7+C7*F7+D7*G7</f>
        <v>20</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3"/>
  <sheetViews>
    <sheetView zoomScaleNormal="100" workbookViewId="0">
      <pane ySplit="1" topLeftCell="A2" activePane="bottomLeft" state="frozen"/>
      <selection pane="bottomLeft"/>
    </sheetView>
  </sheetViews>
  <sheetFormatPr baseColWidth="10" defaultColWidth="8.88671875" defaultRowHeight="13.2"/>
  <cols>
    <col min="1" max="1" width="42" customWidth="1"/>
    <col min="2" max="2" width="13" customWidth="1"/>
    <col min="3" max="3" width="15" customWidth="1"/>
    <col min="4" max="5" width="21" customWidth="1"/>
    <col min="6" max="6" width="95" customWidth="1"/>
  </cols>
  <sheetData>
    <row r="1" spans="1:6">
      <c r="A1" t="s">
        <v>99</v>
      </c>
      <c r="B1" t="s">
        <v>100</v>
      </c>
      <c r="C1" t="s">
        <v>101</v>
      </c>
      <c r="D1" t="s">
        <v>102</v>
      </c>
      <c r="E1" t="s">
        <v>103</v>
      </c>
      <c r="F1" t="s">
        <v>104</v>
      </c>
    </row>
    <row r="2" spans="1:6">
      <c r="A2" t="s">
        <v>105</v>
      </c>
      <c r="B2">
        <v>7</v>
      </c>
      <c r="C2">
        <f t="shared" ref="C2:C20" si="0">MAX(D2-E2,0)</f>
        <v>1</v>
      </c>
      <c r="D2">
        <v>1</v>
      </c>
      <c r="E2">
        <v>0</v>
      </c>
      <c r="F2" t="s">
        <v>106</v>
      </c>
    </row>
    <row r="3" spans="1:6">
      <c r="A3" t="s">
        <v>107</v>
      </c>
      <c r="B3">
        <v>0</v>
      </c>
      <c r="C3">
        <f t="shared" si="0"/>
        <v>1</v>
      </c>
      <c r="D3">
        <v>2</v>
      </c>
      <c r="E3">
        <v>1</v>
      </c>
    </row>
    <row r="4" spans="1:6">
      <c r="A4" t="s">
        <v>108</v>
      </c>
      <c r="B4">
        <v>0</v>
      </c>
      <c r="C4">
        <f t="shared" si="0"/>
        <v>0</v>
      </c>
      <c r="D4">
        <v>0</v>
      </c>
      <c r="E4">
        <v>0</v>
      </c>
    </row>
    <row r="5" spans="1:6">
      <c r="A5" t="s">
        <v>109</v>
      </c>
      <c r="B5">
        <v>2</v>
      </c>
      <c r="C5">
        <f t="shared" si="0"/>
        <v>4</v>
      </c>
      <c r="D5">
        <v>7</v>
      </c>
      <c r="E5">
        <v>3</v>
      </c>
      <c r="F5" t="s">
        <v>110</v>
      </c>
    </row>
    <row r="6" spans="1:6">
      <c r="A6" t="s">
        <v>111</v>
      </c>
      <c r="B6">
        <v>0</v>
      </c>
      <c r="C6">
        <f t="shared" si="0"/>
        <v>0</v>
      </c>
      <c r="D6">
        <v>4</v>
      </c>
      <c r="E6">
        <v>6</v>
      </c>
    </row>
    <row r="7" spans="1:6">
      <c r="A7" t="s">
        <v>112</v>
      </c>
      <c r="B7">
        <v>3</v>
      </c>
      <c r="C7">
        <f t="shared" si="0"/>
        <v>6</v>
      </c>
      <c r="D7">
        <v>6</v>
      </c>
      <c r="E7">
        <v>0</v>
      </c>
      <c r="F7" t="s">
        <v>113</v>
      </c>
    </row>
    <row r="8" spans="1:6">
      <c r="A8" t="s">
        <v>114</v>
      </c>
      <c r="B8">
        <v>1</v>
      </c>
      <c r="C8">
        <f t="shared" si="0"/>
        <v>0</v>
      </c>
      <c r="D8">
        <v>0</v>
      </c>
      <c r="E8">
        <v>1</v>
      </c>
      <c r="F8" t="s">
        <v>111</v>
      </c>
    </row>
    <row r="9" spans="1:6">
      <c r="A9" t="s">
        <v>115</v>
      </c>
      <c r="B9">
        <v>0</v>
      </c>
      <c r="C9">
        <f t="shared" si="0"/>
        <v>5</v>
      </c>
      <c r="D9">
        <v>10</v>
      </c>
      <c r="E9">
        <v>5</v>
      </c>
    </row>
    <row r="10" spans="1:6">
      <c r="A10" t="s">
        <v>116</v>
      </c>
      <c r="B10">
        <v>1</v>
      </c>
      <c r="C10">
        <f t="shared" si="0"/>
        <v>0</v>
      </c>
      <c r="D10">
        <v>3</v>
      </c>
      <c r="E10">
        <v>3</v>
      </c>
      <c r="F10" t="s">
        <v>111</v>
      </c>
    </row>
    <row r="11" spans="1:6">
      <c r="A11" t="s">
        <v>117</v>
      </c>
      <c r="B11">
        <v>3</v>
      </c>
      <c r="C11">
        <f t="shared" si="0"/>
        <v>2</v>
      </c>
      <c r="D11">
        <v>4</v>
      </c>
      <c r="E11">
        <v>2</v>
      </c>
      <c r="F11" t="s">
        <v>113</v>
      </c>
    </row>
    <row r="12" spans="1:6">
      <c r="A12" t="s">
        <v>118</v>
      </c>
      <c r="B12">
        <v>3</v>
      </c>
      <c r="C12">
        <f t="shared" si="0"/>
        <v>2</v>
      </c>
      <c r="D12">
        <v>4</v>
      </c>
      <c r="E12">
        <v>2</v>
      </c>
      <c r="F12" t="s">
        <v>113</v>
      </c>
    </row>
    <row r="13" spans="1:6">
      <c r="A13" t="s">
        <v>119</v>
      </c>
      <c r="B13">
        <v>2</v>
      </c>
      <c r="C13">
        <f t="shared" si="0"/>
        <v>1</v>
      </c>
      <c r="D13">
        <v>2</v>
      </c>
      <c r="E13">
        <v>1</v>
      </c>
      <c r="F13" t="s">
        <v>110</v>
      </c>
    </row>
    <row r="14" spans="1:6">
      <c r="A14" t="s">
        <v>120</v>
      </c>
      <c r="B14">
        <v>0</v>
      </c>
      <c r="C14">
        <f t="shared" si="0"/>
        <v>0</v>
      </c>
      <c r="D14">
        <v>0</v>
      </c>
      <c r="E14">
        <v>28</v>
      </c>
    </row>
    <row r="15" spans="1:6">
      <c r="A15" t="s">
        <v>121</v>
      </c>
      <c r="B15">
        <v>2</v>
      </c>
      <c r="C15">
        <f t="shared" si="0"/>
        <v>2</v>
      </c>
      <c r="D15">
        <v>4</v>
      </c>
      <c r="E15">
        <v>2</v>
      </c>
      <c r="F15" t="s">
        <v>110</v>
      </c>
    </row>
    <row r="16" spans="1:6">
      <c r="A16" t="s">
        <v>122</v>
      </c>
      <c r="B16">
        <v>2</v>
      </c>
      <c r="C16">
        <f t="shared" si="0"/>
        <v>4</v>
      </c>
      <c r="D16">
        <v>5</v>
      </c>
      <c r="E16">
        <v>1</v>
      </c>
      <c r="F16" t="s">
        <v>110</v>
      </c>
    </row>
    <row r="17" spans="1:6">
      <c r="A17" t="s">
        <v>123</v>
      </c>
      <c r="B17">
        <v>2</v>
      </c>
      <c r="C17">
        <f t="shared" si="0"/>
        <v>1</v>
      </c>
      <c r="D17">
        <v>1</v>
      </c>
      <c r="E17">
        <v>0</v>
      </c>
      <c r="F17" t="s">
        <v>110</v>
      </c>
    </row>
    <row r="18" spans="1:6">
      <c r="A18" t="s">
        <v>124</v>
      </c>
      <c r="B18">
        <v>0</v>
      </c>
      <c r="C18">
        <f t="shared" si="0"/>
        <v>0</v>
      </c>
      <c r="D18">
        <v>0</v>
      </c>
      <c r="E18">
        <v>21</v>
      </c>
    </row>
    <row r="19" spans="1:6">
      <c r="A19" t="s">
        <v>125</v>
      </c>
      <c r="B19">
        <v>0</v>
      </c>
      <c r="C19">
        <f t="shared" si="0"/>
        <v>1</v>
      </c>
      <c r="D19">
        <v>1</v>
      </c>
      <c r="E19">
        <v>0</v>
      </c>
    </row>
    <row r="20" spans="1:6">
      <c r="A20" t="s">
        <v>126</v>
      </c>
      <c r="B20">
        <v>0</v>
      </c>
      <c r="C20">
        <f t="shared" si="0"/>
        <v>0</v>
      </c>
      <c r="D20">
        <v>12</v>
      </c>
      <c r="E20">
        <v>66</v>
      </c>
    </row>
    <row r="23" spans="1:6">
      <c r="A23" t="s">
        <v>127</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
  <sheetViews>
    <sheetView zoomScaleNormal="100" workbookViewId="0"/>
  </sheetViews>
  <sheetFormatPr baseColWidth="10" defaultColWidth="8.6640625" defaultRowHeight="13.2"/>
  <cols>
    <col min="1" max="1" width="18" customWidth="1"/>
    <col min="2" max="2" width="120" customWidth="1"/>
  </cols>
  <sheetData>
    <row r="1" spans="1:2" ht="13.8">
      <c r="A1" s="3" t="s">
        <v>128</v>
      </c>
      <c r="B1" s="3" t="s">
        <v>129</v>
      </c>
    </row>
    <row r="2" spans="1:2" ht="79.2">
      <c r="A2" s="4" t="s">
        <v>130</v>
      </c>
      <c r="B2" s="4" t="s">
        <v>131</v>
      </c>
    </row>
    <row r="3" spans="1:2" ht="52.8">
      <c r="A3" s="4" t="s">
        <v>132</v>
      </c>
      <c r="B3" s="4" t="s">
        <v>133</v>
      </c>
    </row>
    <row r="4" spans="1:2" ht="26.4">
      <c r="A4" s="4" t="s">
        <v>134</v>
      </c>
      <c r="B4" s="4" t="s">
        <v>135</v>
      </c>
    </row>
    <row r="5" spans="1:2" ht="26.4">
      <c r="A5" s="4" t="s">
        <v>136</v>
      </c>
      <c r="B5" s="4" t="s">
        <v>137</v>
      </c>
    </row>
    <row r="6" spans="1:2" ht="26.4">
      <c r="A6" s="4" t="s">
        <v>138</v>
      </c>
      <c r="B6" s="4" t="s">
        <v>139</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4E6A1-3985-496B-B8E9-FF7B55C63621}">
  <dimension ref="A1:R22"/>
  <sheetViews>
    <sheetView workbookViewId="0">
      <selection activeCell="A8" sqref="A8"/>
    </sheetView>
  </sheetViews>
  <sheetFormatPr baseColWidth="10" defaultRowHeight="13.2"/>
  <cols>
    <col min="1" max="1" width="58.88671875" customWidth="1"/>
    <col min="6" max="6" width="15.33203125" customWidth="1"/>
    <col min="8" max="8" width="12.77734375" customWidth="1"/>
  </cols>
  <sheetData>
    <row r="1" spans="1:18" ht="13.8" thickBot="1">
      <c r="A1" s="9"/>
      <c r="B1" s="9"/>
      <c r="C1" s="9"/>
      <c r="D1" s="9"/>
      <c r="E1" s="9"/>
      <c r="F1" s="9"/>
      <c r="G1" s="9"/>
      <c r="H1" s="9"/>
      <c r="I1" s="9"/>
      <c r="J1" s="9"/>
      <c r="K1" s="9"/>
      <c r="L1" s="9"/>
      <c r="M1" s="9"/>
      <c r="N1" s="9"/>
      <c r="O1" s="9"/>
      <c r="P1" s="9"/>
      <c r="Q1" s="9"/>
      <c r="R1" s="9"/>
    </row>
    <row r="2" spans="1:18" ht="66.599999999999994" thickBot="1">
      <c r="A2" s="9"/>
      <c r="B2" s="10" t="s">
        <v>159</v>
      </c>
      <c r="C2" s="10" t="s">
        <v>10</v>
      </c>
      <c r="D2" s="9" t="s">
        <v>160</v>
      </c>
      <c r="E2" s="9" t="s">
        <v>161</v>
      </c>
      <c r="F2" s="9" t="s">
        <v>162</v>
      </c>
      <c r="G2" s="9" t="s">
        <v>163</v>
      </c>
      <c r="H2" s="9" t="s">
        <v>164</v>
      </c>
      <c r="I2" s="10" t="s">
        <v>165</v>
      </c>
      <c r="J2" s="9" t="s">
        <v>166</v>
      </c>
      <c r="K2" s="10" t="s">
        <v>167</v>
      </c>
      <c r="L2" s="9" t="s">
        <v>168</v>
      </c>
      <c r="M2" s="9" t="s">
        <v>169</v>
      </c>
      <c r="N2" s="9" t="s">
        <v>170</v>
      </c>
      <c r="O2" s="9" t="s">
        <v>171</v>
      </c>
      <c r="P2" s="9" t="s">
        <v>172</v>
      </c>
      <c r="Q2" s="9" t="s">
        <v>173</v>
      </c>
      <c r="R2" s="9" t="s">
        <v>174</v>
      </c>
    </row>
    <row r="3" spans="1:18" ht="27" thickBot="1">
      <c r="A3" s="9" t="s">
        <v>175</v>
      </c>
      <c r="B3" s="11">
        <f>ROUND(C3*Q3, 0)</f>
        <v>53463</v>
      </c>
      <c r="C3" s="11">
        <f>(D3*((I3*K3*L3)+(N3*O3))*P3*R3*0.001)</f>
        <v>112.55365799999998</v>
      </c>
      <c r="D3" s="12">
        <v>504</v>
      </c>
      <c r="E3" s="9" t="s">
        <v>176</v>
      </c>
      <c r="F3" s="9" t="s">
        <v>177</v>
      </c>
      <c r="G3" s="12">
        <v>1</v>
      </c>
      <c r="H3" s="12">
        <v>12</v>
      </c>
      <c r="I3" s="11">
        <f>H3*G3</f>
        <v>12</v>
      </c>
      <c r="J3" s="12">
        <v>130</v>
      </c>
      <c r="K3" s="11">
        <f>J3/I3</f>
        <v>10.833333333333334</v>
      </c>
      <c r="L3" s="12">
        <v>1</v>
      </c>
      <c r="M3" s="9"/>
      <c r="N3" s="12">
        <v>10</v>
      </c>
      <c r="O3" s="12">
        <v>0.3725</v>
      </c>
      <c r="P3" s="12">
        <v>1.67</v>
      </c>
      <c r="Q3" s="12">
        <v>475</v>
      </c>
      <c r="R3" s="12">
        <v>1</v>
      </c>
    </row>
    <row r="4" spans="1:18" ht="13.8" thickBot="1">
      <c r="A4" s="9"/>
      <c r="B4" s="9"/>
      <c r="C4" s="9"/>
      <c r="D4" s="9"/>
      <c r="E4" s="9"/>
      <c r="F4" s="9"/>
      <c r="G4" s="9"/>
      <c r="H4" s="9"/>
      <c r="I4" s="9"/>
      <c r="J4" s="9"/>
      <c r="K4" s="9"/>
      <c r="L4" s="9"/>
      <c r="M4" s="9"/>
      <c r="N4" s="9"/>
      <c r="O4" s="9"/>
      <c r="P4" s="9"/>
      <c r="Q4" s="9"/>
      <c r="R4" s="9"/>
    </row>
    <row r="5" spans="1:18" ht="13.8" thickBot="1">
      <c r="A5" s="9"/>
      <c r="B5" s="9"/>
      <c r="C5" s="9"/>
      <c r="D5" s="9"/>
      <c r="E5" s="9"/>
      <c r="F5" s="9"/>
      <c r="G5" s="9"/>
      <c r="H5" s="9"/>
      <c r="I5" s="9"/>
      <c r="J5" s="9"/>
      <c r="K5" s="9"/>
      <c r="L5" s="9"/>
      <c r="M5" s="9"/>
      <c r="N5" s="9"/>
      <c r="O5" s="9"/>
      <c r="P5" s="9"/>
      <c r="Q5" s="9"/>
      <c r="R5" s="9"/>
    </row>
    <row r="6" spans="1:18" ht="15.6" customHeight="1" thickBot="1">
      <c r="A6" s="9"/>
      <c r="B6" s="9"/>
      <c r="C6" s="9"/>
      <c r="D6" s="9"/>
      <c r="E6" s="9"/>
      <c r="F6" s="9"/>
      <c r="G6" s="9"/>
      <c r="H6" s="9"/>
      <c r="I6" s="9"/>
      <c r="J6" s="9"/>
      <c r="K6" s="9"/>
      <c r="L6" s="9"/>
      <c r="M6" s="9"/>
      <c r="N6" s="9"/>
      <c r="O6" s="9"/>
      <c r="P6" s="9"/>
      <c r="Q6" s="9"/>
      <c r="R6" s="9"/>
    </row>
    <row r="7" spans="1:18" ht="43.2" customHeight="1" thickBot="1">
      <c r="A7" s="9" t="s">
        <v>178</v>
      </c>
      <c r="B7" s="9"/>
      <c r="C7" s="9"/>
      <c r="D7" s="9"/>
      <c r="E7" s="9"/>
      <c r="F7" s="28" t="s">
        <v>193</v>
      </c>
      <c r="G7" s="29"/>
      <c r="H7" s="30"/>
      <c r="I7" s="9"/>
      <c r="J7" s="9"/>
      <c r="K7" s="9"/>
      <c r="L7" s="9"/>
      <c r="M7" s="9"/>
      <c r="N7" s="9"/>
      <c r="O7" s="9"/>
      <c r="P7" s="9"/>
      <c r="Q7" s="9"/>
      <c r="R7" s="9"/>
    </row>
    <row r="8" spans="1:18" ht="56.4" customHeight="1" thickBot="1">
      <c r="A8" s="14" t="s">
        <v>179</v>
      </c>
      <c r="B8" s="9"/>
      <c r="C8" s="9"/>
      <c r="D8" s="9"/>
      <c r="E8" s="9"/>
      <c r="F8" s="28" t="s">
        <v>194</v>
      </c>
      <c r="G8" s="31"/>
      <c r="H8" s="32"/>
      <c r="I8" s="9"/>
      <c r="J8" s="9"/>
      <c r="K8" s="9"/>
      <c r="L8" s="9"/>
      <c r="M8" s="9"/>
      <c r="N8" s="9"/>
      <c r="O8" s="9"/>
      <c r="P8" s="9"/>
      <c r="Q8" s="9"/>
      <c r="R8" s="9"/>
    </row>
    <row r="9" spans="1:18" ht="13.8" thickBot="1">
      <c r="A9" s="14" t="s">
        <v>180</v>
      </c>
      <c r="B9" s="9"/>
      <c r="C9" s="9"/>
      <c r="D9" s="9"/>
      <c r="E9" s="9"/>
      <c r="F9" s="9"/>
      <c r="G9" s="9"/>
      <c r="H9" s="9"/>
      <c r="I9" s="9"/>
      <c r="J9" s="9"/>
      <c r="K9" s="9"/>
      <c r="L9" s="9"/>
      <c r="M9" s="9"/>
      <c r="N9" s="9"/>
      <c r="O9" s="9"/>
      <c r="P9" s="9"/>
      <c r="Q9" s="9"/>
      <c r="R9" s="9"/>
    </row>
    <row r="10" spans="1:18" ht="13.8" thickBot="1">
      <c r="A10" s="14" t="s">
        <v>181</v>
      </c>
      <c r="B10" s="9"/>
      <c r="C10" s="9"/>
      <c r="D10" s="9"/>
      <c r="E10" s="9"/>
      <c r="F10" s="9"/>
      <c r="G10" s="9"/>
      <c r="H10" s="9"/>
      <c r="I10" s="9"/>
      <c r="J10" s="9"/>
      <c r="K10" s="9"/>
      <c r="L10" s="9"/>
      <c r="M10" s="9"/>
      <c r="N10" s="9"/>
      <c r="O10" s="9"/>
      <c r="P10" s="9"/>
      <c r="Q10" s="9"/>
      <c r="R10" s="9"/>
    </row>
    <row r="11" spans="1:18" ht="13.8" thickBot="1">
      <c r="A11" s="9" t="s">
        <v>182</v>
      </c>
      <c r="B11" s="9"/>
      <c r="C11" s="9"/>
      <c r="D11" s="9"/>
      <c r="E11" s="9"/>
      <c r="F11" s="9"/>
      <c r="G11" s="9"/>
      <c r="H11" s="9"/>
      <c r="I11" s="9"/>
      <c r="J11" s="9"/>
      <c r="K11" s="9"/>
      <c r="L11" s="9"/>
      <c r="M11" s="9"/>
      <c r="N11" s="9"/>
      <c r="O11" s="9"/>
      <c r="P11" s="9"/>
      <c r="Q11" s="9"/>
      <c r="R11" s="9"/>
    </row>
    <row r="12" spans="1:18" ht="13.8" thickBot="1">
      <c r="A12" s="9" t="s">
        <v>183</v>
      </c>
      <c r="B12" s="9"/>
      <c r="C12" s="9"/>
      <c r="D12" s="9"/>
      <c r="E12" s="9"/>
      <c r="F12" s="9"/>
      <c r="G12" s="9"/>
      <c r="H12" s="9"/>
      <c r="I12" s="9"/>
      <c r="J12" s="9"/>
      <c r="K12" s="9"/>
      <c r="L12" s="9"/>
      <c r="M12" s="9"/>
      <c r="N12" s="9"/>
      <c r="O12" s="9"/>
      <c r="P12" s="9"/>
      <c r="Q12" s="9"/>
      <c r="R12" s="9"/>
    </row>
    <row r="13" spans="1:18" ht="13.8" thickBot="1">
      <c r="A13" s="14" t="s">
        <v>184</v>
      </c>
      <c r="B13" s="9"/>
      <c r="C13" s="9"/>
      <c r="D13" s="9"/>
      <c r="E13" s="9"/>
      <c r="F13" s="9"/>
      <c r="G13" s="9"/>
      <c r="H13" s="9"/>
      <c r="I13" s="9"/>
      <c r="J13" s="9"/>
      <c r="K13" s="9"/>
      <c r="L13" s="9"/>
      <c r="M13" s="9"/>
      <c r="N13" s="9"/>
      <c r="O13" s="9"/>
      <c r="P13" s="9"/>
      <c r="Q13" s="9"/>
      <c r="R13" s="9"/>
    </row>
    <row r="14" spans="1:18" ht="13.8" thickBot="1">
      <c r="A14" s="14" t="s">
        <v>185</v>
      </c>
      <c r="B14" s="9"/>
      <c r="C14" s="9"/>
      <c r="D14" s="9"/>
      <c r="E14" s="9"/>
      <c r="F14" s="9"/>
      <c r="G14" s="9"/>
      <c r="H14" s="9"/>
      <c r="I14" s="9"/>
      <c r="J14" s="9"/>
      <c r="K14" s="9"/>
      <c r="L14" s="9"/>
      <c r="M14" s="9"/>
      <c r="N14" s="9"/>
      <c r="O14" s="9"/>
      <c r="P14" s="9"/>
      <c r="Q14" s="9"/>
      <c r="R14" s="9"/>
    </row>
    <row r="15" spans="1:18" ht="13.8" thickBot="1">
      <c r="A15" s="14" t="s">
        <v>186</v>
      </c>
      <c r="B15" s="9"/>
      <c r="C15" s="9"/>
      <c r="D15" s="9"/>
      <c r="E15" s="9"/>
      <c r="F15" s="9"/>
      <c r="G15" s="9"/>
      <c r="H15" s="9"/>
      <c r="I15" s="9"/>
      <c r="J15" s="9"/>
      <c r="K15" s="9"/>
      <c r="L15" s="9"/>
      <c r="M15" s="9"/>
      <c r="N15" s="9"/>
      <c r="O15" s="9"/>
      <c r="P15" s="9"/>
      <c r="Q15" s="9"/>
      <c r="R15" s="9"/>
    </row>
    <row r="16" spans="1:18" ht="13.8" thickBot="1">
      <c r="A16" s="14" t="s">
        <v>187</v>
      </c>
      <c r="B16" s="9"/>
      <c r="C16" s="9"/>
      <c r="D16" s="9"/>
      <c r="E16" s="9"/>
      <c r="F16" s="9"/>
      <c r="G16" s="9"/>
      <c r="H16" s="9"/>
      <c r="I16" s="9"/>
      <c r="J16" s="9"/>
      <c r="K16" s="9"/>
      <c r="L16" s="9"/>
      <c r="M16" s="9"/>
      <c r="N16" s="9"/>
      <c r="O16" s="9"/>
      <c r="P16" s="9"/>
      <c r="Q16" s="9"/>
      <c r="R16" s="9"/>
    </row>
    <row r="17" spans="1:18" ht="13.8" thickBot="1">
      <c r="A17" s="14" t="s">
        <v>188</v>
      </c>
      <c r="B17" s="9"/>
      <c r="C17" s="9"/>
      <c r="D17" s="9"/>
      <c r="E17" s="9"/>
      <c r="F17" s="9"/>
      <c r="G17" s="9"/>
      <c r="H17" s="9"/>
      <c r="I17" s="9"/>
      <c r="J17" s="9"/>
      <c r="K17" s="9"/>
      <c r="L17" s="9"/>
      <c r="M17" s="9"/>
      <c r="N17" s="9"/>
      <c r="O17" s="9"/>
      <c r="P17" s="9"/>
      <c r="Q17" s="9"/>
      <c r="R17" s="9"/>
    </row>
    <row r="18" spans="1:18" ht="13.8" thickBot="1">
      <c r="A18" s="14" t="s">
        <v>189</v>
      </c>
      <c r="B18" s="9"/>
      <c r="C18" s="9"/>
      <c r="D18" s="9"/>
      <c r="E18" s="9"/>
      <c r="F18" s="9"/>
      <c r="G18" s="9"/>
      <c r="H18" s="9"/>
      <c r="I18" s="9"/>
      <c r="J18" s="9"/>
      <c r="K18" s="9"/>
      <c r="L18" s="9"/>
      <c r="M18" s="9"/>
      <c r="N18" s="9"/>
      <c r="O18" s="9"/>
      <c r="P18" s="9"/>
      <c r="Q18" s="9"/>
      <c r="R18" s="9"/>
    </row>
    <row r="19" spans="1:18" ht="13.8" thickBot="1">
      <c r="A19" s="14" t="s">
        <v>190</v>
      </c>
      <c r="B19" s="9"/>
      <c r="C19" s="9"/>
      <c r="D19" s="9"/>
      <c r="E19" s="9"/>
      <c r="F19" s="9"/>
      <c r="G19" s="9"/>
      <c r="H19" s="9"/>
      <c r="I19" s="9"/>
      <c r="J19" s="9"/>
      <c r="K19" s="9"/>
      <c r="L19" s="9"/>
      <c r="M19" s="9"/>
      <c r="N19" s="9"/>
      <c r="O19" s="9"/>
      <c r="P19" s="9"/>
      <c r="Q19" s="9"/>
      <c r="R19" s="9"/>
    </row>
    <row r="20" spans="1:18" ht="13.8" thickBot="1">
      <c r="A20" s="14" t="s">
        <v>191</v>
      </c>
      <c r="B20" s="9"/>
      <c r="C20" s="9"/>
      <c r="D20" s="9"/>
      <c r="E20" s="9"/>
      <c r="F20" s="9"/>
      <c r="G20" s="9"/>
      <c r="H20" s="9"/>
      <c r="I20" s="9"/>
      <c r="J20" s="9"/>
      <c r="K20" s="9"/>
      <c r="L20" s="9"/>
      <c r="M20" s="9"/>
      <c r="N20" s="9"/>
      <c r="O20" s="9"/>
      <c r="P20" s="9"/>
      <c r="Q20" s="9"/>
      <c r="R20" s="9"/>
    </row>
    <row r="21" spans="1:18" ht="13.8" thickBot="1">
      <c r="A21" s="14" t="s">
        <v>192</v>
      </c>
      <c r="B21" s="9"/>
      <c r="C21" s="9"/>
      <c r="D21" s="9"/>
      <c r="E21" s="9"/>
      <c r="F21" s="9"/>
      <c r="G21" s="9"/>
      <c r="H21" s="9"/>
      <c r="I21" s="9"/>
      <c r="J21" s="9"/>
      <c r="K21" s="9"/>
      <c r="L21" s="9"/>
      <c r="M21" s="9"/>
      <c r="N21" s="9"/>
      <c r="O21" s="9"/>
      <c r="P21" s="9"/>
      <c r="Q21" s="9"/>
      <c r="R21" s="9"/>
    </row>
    <row r="22" spans="1:18" ht="13.8" thickBot="1">
      <c r="A22" s="9"/>
      <c r="B22" s="9"/>
      <c r="C22" s="9"/>
      <c r="D22" s="9"/>
      <c r="E22" s="9"/>
      <c r="F22" s="9"/>
      <c r="G22" s="9"/>
      <c r="H22" s="9"/>
      <c r="I22" s="9"/>
      <c r="J22" s="9"/>
      <c r="K22" s="9"/>
      <c r="L22" s="9"/>
      <c r="M22" s="9"/>
      <c r="N22" s="9"/>
      <c r="O22" s="9"/>
      <c r="P22" s="9"/>
      <c r="Q22" s="9"/>
      <c r="R22" s="9"/>
    </row>
  </sheetData>
  <mergeCells count="2">
    <mergeCell ref="F7:H7"/>
    <mergeCell ref="F8:H8"/>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3CCEA-4A50-434C-8CF1-1DBFE0F7E32A}">
  <dimension ref="A1:L36"/>
  <sheetViews>
    <sheetView tabSelected="1" workbookViewId="0">
      <selection activeCell="L8" sqref="L8"/>
    </sheetView>
  </sheetViews>
  <sheetFormatPr baseColWidth="10" defaultRowHeight="13.2"/>
  <sheetData>
    <row r="1" spans="1:12" ht="13.8" thickBot="1">
      <c r="A1" s="9" t="s">
        <v>195</v>
      </c>
      <c r="B1" s="9"/>
      <c r="C1" s="9"/>
      <c r="D1" s="9"/>
      <c r="E1" s="9"/>
      <c r="F1" s="9"/>
      <c r="G1" s="9"/>
      <c r="H1" s="9"/>
      <c r="I1" s="9"/>
      <c r="J1" s="9"/>
      <c r="K1" s="9"/>
      <c r="L1" s="9"/>
    </row>
    <row r="2" spans="1:12" ht="13.8" thickBot="1">
      <c r="A2" s="13" t="s">
        <v>196</v>
      </c>
      <c r="B2" s="9"/>
      <c r="C2" s="9"/>
      <c r="D2" s="9"/>
      <c r="E2" s="9"/>
      <c r="F2" s="9"/>
      <c r="G2" s="9"/>
      <c r="H2" s="9"/>
      <c r="I2" s="9"/>
      <c r="J2" s="9"/>
      <c r="K2" s="9"/>
      <c r="L2" s="9"/>
    </row>
    <row r="3" spans="1:12" ht="13.8" thickBot="1">
      <c r="A3" s="13" t="s">
        <v>197</v>
      </c>
      <c r="B3" s="9"/>
      <c r="C3" s="9"/>
      <c r="D3" s="9"/>
      <c r="E3" s="9"/>
      <c r="F3" s="9"/>
      <c r="G3" s="9"/>
      <c r="H3" s="9"/>
      <c r="I3" s="9"/>
      <c r="J3" s="9"/>
      <c r="K3" s="9"/>
      <c r="L3" s="9"/>
    </row>
    <row r="4" spans="1:12" ht="13.8" thickBot="1">
      <c r="A4" s="13" t="s">
        <v>198</v>
      </c>
      <c r="B4" s="9"/>
      <c r="C4" s="9"/>
      <c r="D4" s="9"/>
      <c r="E4" s="9"/>
      <c r="F4" s="9"/>
      <c r="G4" s="9"/>
      <c r="H4" s="9"/>
      <c r="I4" s="13"/>
      <c r="J4" s="9"/>
      <c r="K4" s="9"/>
      <c r="L4" s="9"/>
    </row>
    <row r="5" spans="1:12" ht="13.8" thickBot="1">
      <c r="A5" s="9"/>
      <c r="B5" s="9"/>
      <c r="C5" s="9"/>
      <c r="D5" s="9"/>
      <c r="E5" s="9"/>
      <c r="F5" s="9"/>
      <c r="G5" s="9"/>
      <c r="H5" s="9"/>
      <c r="I5" s="13"/>
      <c r="J5" s="9"/>
      <c r="K5" s="9"/>
      <c r="L5" s="9"/>
    </row>
    <row r="6" spans="1:12" ht="13.8" thickBot="1">
      <c r="A6" s="13" t="s">
        <v>199</v>
      </c>
      <c r="B6" s="9"/>
      <c r="C6" s="9"/>
      <c r="D6" s="9"/>
      <c r="E6" s="9"/>
      <c r="F6" s="9"/>
      <c r="G6" s="9"/>
      <c r="H6" s="9"/>
      <c r="I6" s="9"/>
      <c r="J6" s="9"/>
      <c r="K6" s="9"/>
      <c r="L6" s="9"/>
    </row>
    <row r="7" spans="1:12" ht="13.8" thickBot="1">
      <c r="A7" s="9"/>
      <c r="B7" s="9"/>
      <c r="C7" s="9"/>
      <c r="D7" s="9"/>
      <c r="E7" s="9"/>
      <c r="F7" s="9"/>
      <c r="G7" s="9"/>
      <c r="H7" s="9"/>
      <c r="I7" s="9"/>
      <c r="J7" s="9"/>
      <c r="K7" s="9"/>
      <c r="L7" s="9"/>
    </row>
    <row r="8" spans="1:12" ht="40.200000000000003" thickBot="1">
      <c r="A8" s="9"/>
      <c r="B8" s="9" t="s">
        <v>214</v>
      </c>
      <c r="C8" s="9" t="s">
        <v>215</v>
      </c>
      <c r="D8" s="14" t="s">
        <v>200</v>
      </c>
      <c r="E8" s="9" t="s">
        <v>201</v>
      </c>
      <c r="F8" s="9" t="s">
        <v>202</v>
      </c>
      <c r="G8" s="14" t="s">
        <v>203</v>
      </c>
      <c r="H8" s="9" t="s">
        <v>201</v>
      </c>
      <c r="I8" s="9" t="s">
        <v>204</v>
      </c>
      <c r="J8" s="14" t="s">
        <v>205</v>
      </c>
      <c r="K8" s="9" t="s">
        <v>201</v>
      </c>
      <c r="L8" s="9" t="s">
        <v>206</v>
      </c>
    </row>
    <row r="9" spans="1:12" ht="27" thickBot="1">
      <c r="A9" s="15" t="s">
        <v>207</v>
      </c>
      <c r="B9" s="12">
        <f>ROUND(C9, 0)</f>
        <v>88</v>
      </c>
      <c r="C9" s="12">
        <f>100-5*(3*F9+2*I9+L9)/6</f>
        <v>88.054447574785257</v>
      </c>
      <c r="D9" s="16">
        <v>205</v>
      </c>
      <c r="E9" s="12">
        <f>INDEX(F15:F35, MATCH(D9, C15:C35, 1))</f>
        <v>4</v>
      </c>
      <c r="F9" s="12">
        <f>(E9 - 1) + (D9 - INDEX(C15:C35, E9)) / (INDEX(C15:C35, E9 + 1) - INDEX(C15:C35, E9))</f>
        <v>3.6216216216216215</v>
      </c>
      <c r="G9" s="16">
        <v>18.5</v>
      </c>
      <c r="H9" s="12">
        <f>INDEX(F15:F35, MATCH(G9, D15:D35, 1))</f>
        <v>2</v>
      </c>
      <c r="I9" s="12">
        <f>(H9 - 1) + (G9 - INDEX(D15:D35, H9)) / (INDEX(D15:D35, H9 + 1) - INDEX(D15:D35, H9))</f>
        <v>1.119514407311798</v>
      </c>
      <c r="J9" s="16">
        <v>5</v>
      </c>
      <c r="K9" s="12">
        <f>INDEX(F15:F35, MATCH(J9, E15:E35, 1))</f>
        <v>2</v>
      </c>
      <c r="L9" s="12">
        <f>(K9 - 1) + (J9 - INDEX(E15:E35, K9)) / (INDEX(E15:E35, K9 + 1) - INDEX(E15:E35, K9))</f>
        <v>1.2307692307692308</v>
      </c>
    </row>
    <row r="10" spans="1:12" ht="13.8" thickBot="1">
      <c r="A10" s="9"/>
      <c r="B10" s="9"/>
      <c r="C10" s="9"/>
      <c r="D10" s="9"/>
      <c r="E10" s="9"/>
      <c r="F10" s="9"/>
      <c r="G10" s="9"/>
      <c r="H10" s="9"/>
      <c r="I10" s="9"/>
      <c r="J10" s="9"/>
      <c r="K10" s="9"/>
      <c r="L10" s="9"/>
    </row>
    <row r="11" spans="1:12" ht="13.8" thickBot="1">
      <c r="A11" s="9"/>
      <c r="B11" s="9"/>
      <c r="C11" s="9"/>
      <c r="D11" s="9"/>
      <c r="E11" s="9"/>
      <c r="F11" s="9"/>
      <c r="G11" s="9"/>
      <c r="H11" s="9"/>
      <c r="I11" s="9"/>
      <c r="J11" s="9"/>
      <c r="K11" s="9"/>
      <c r="L11" s="9"/>
    </row>
    <row r="12" spans="1:12" ht="13.8" thickBot="1">
      <c r="A12" s="13" t="s">
        <v>208</v>
      </c>
      <c r="B12" s="9"/>
      <c r="C12" s="9"/>
      <c r="D12" s="9"/>
      <c r="E12" s="9"/>
      <c r="F12" s="9"/>
      <c r="G12" s="9"/>
      <c r="H12" s="9"/>
      <c r="I12" s="9"/>
      <c r="J12" s="9"/>
      <c r="K12" s="9"/>
      <c r="L12" s="9"/>
    </row>
    <row r="13" spans="1:12" ht="13.8" thickBot="1">
      <c r="A13" s="17"/>
      <c r="B13" s="17"/>
      <c r="C13" s="17"/>
      <c r="D13" s="17"/>
      <c r="E13" s="17"/>
      <c r="F13" s="17"/>
      <c r="G13" s="9"/>
      <c r="H13" s="9"/>
      <c r="I13" s="9"/>
      <c r="J13" s="9"/>
      <c r="K13" s="9"/>
      <c r="L13" s="9"/>
    </row>
    <row r="14" spans="1:12" ht="40.200000000000003" thickBot="1">
      <c r="A14" s="26" t="s">
        <v>209</v>
      </c>
      <c r="B14" s="27"/>
      <c r="C14" s="18" t="s">
        <v>210</v>
      </c>
      <c r="D14" s="18" t="s">
        <v>211</v>
      </c>
      <c r="E14" s="18" t="s">
        <v>212</v>
      </c>
      <c r="F14" s="18" t="s">
        <v>213</v>
      </c>
      <c r="G14" s="9"/>
      <c r="H14" s="9"/>
      <c r="I14" s="9"/>
      <c r="J14" s="9"/>
      <c r="K14" s="9"/>
      <c r="L14" s="9"/>
    </row>
    <row r="15" spans="1:12" ht="13.8" thickBot="1">
      <c r="A15" s="19"/>
      <c r="B15" s="24">
        <v>1</v>
      </c>
      <c r="C15" s="20">
        <v>0</v>
      </c>
      <c r="D15" s="20">
        <v>0</v>
      </c>
      <c r="E15" s="20">
        <v>0</v>
      </c>
      <c r="F15" s="21">
        <v>1</v>
      </c>
      <c r="G15" s="9"/>
      <c r="H15" s="9"/>
      <c r="I15" s="9"/>
      <c r="J15" s="9"/>
      <c r="K15" s="9"/>
      <c r="L15" s="9"/>
    </row>
    <row r="16" spans="1:12" ht="13.8" thickBot="1">
      <c r="A16" s="24">
        <v>2</v>
      </c>
      <c r="B16" s="25"/>
      <c r="C16" s="20">
        <v>47</v>
      </c>
      <c r="D16" s="20">
        <v>1.37</v>
      </c>
      <c r="E16" s="20">
        <v>2</v>
      </c>
      <c r="F16" s="21">
        <v>2</v>
      </c>
      <c r="G16" s="9"/>
      <c r="H16" s="9"/>
      <c r="I16" s="9"/>
      <c r="J16" s="9"/>
      <c r="K16" s="9"/>
      <c r="L16" s="9"/>
    </row>
    <row r="17" spans="1:12" ht="13.8" thickBot="1">
      <c r="A17" s="25"/>
      <c r="B17" s="24">
        <v>3</v>
      </c>
      <c r="C17" s="20">
        <v>75</v>
      </c>
      <c r="D17" s="20">
        <v>144.69999999999999</v>
      </c>
      <c r="E17" s="20">
        <v>15</v>
      </c>
      <c r="F17" s="21">
        <v>3</v>
      </c>
      <c r="G17" s="9"/>
      <c r="H17" s="9"/>
      <c r="I17" s="9"/>
      <c r="J17" s="9"/>
      <c r="K17" s="9"/>
      <c r="L17" s="9"/>
    </row>
    <row r="18" spans="1:12" ht="13.8" thickBot="1">
      <c r="A18" s="24">
        <v>4</v>
      </c>
      <c r="B18" s="25"/>
      <c r="C18" s="20">
        <v>159</v>
      </c>
      <c r="D18" s="20">
        <v>319.52999999999997</v>
      </c>
      <c r="E18" s="20">
        <v>25</v>
      </c>
      <c r="F18" s="21">
        <v>4</v>
      </c>
      <c r="G18" s="9"/>
      <c r="H18" s="9"/>
      <c r="I18" s="9"/>
      <c r="J18" s="9"/>
      <c r="K18" s="9"/>
      <c r="L18" s="9"/>
    </row>
    <row r="19" spans="1:12" ht="13.8" thickBot="1">
      <c r="A19" s="25"/>
      <c r="B19" s="24">
        <v>5</v>
      </c>
      <c r="C19" s="20">
        <v>233</v>
      </c>
      <c r="D19" s="20">
        <v>479.46</v>
      </c>
      <c r="E19" s="20">
        <v>34</v>
      </c>
      <c r="F19" s="21">
        <v>5</v>
      </c>
      <c r="G19" s="9"/>
      <c r="H19" s="9"/>
      <c r="I19" s="9"/>
      <c r="J19" s="9"/>
      <c r="K19" s="9"/>
      <c r="L19" s="9"/>
    </row>
    <row r="20" spans="1:12" ht="13.8" thickBot="1">
      <c r="A20" s="24">
        <v>6</v>
      </c>
      <c r="B20" s="25"/>
      <c r="C20" s="20">
        <v>298</v>
      </c>
      <c r="D20" s="20">
        <v>631.97</v>
      </c>
      <c r="E20" s="20">
        <v>42</v>
      </c>
      <c r="F20" s="21">
        <v>6</v>
      </c>
      <c r="G20" s="9"/>
      <c r="H20" s="9"/>
      <c r="I20" s="9"/>
      <c r="J20" s="9"/>
      <c r="K20" s="9"/>
      <c r="L20" s="9"/>
    </row>
    <row r="21" spans="1:12" ht="13.8" thickBot="1">
      <c r="A21" s="25"/>
      <c r="B21" s="24">
        <v>7</v>
      </c>
      <c r="C21" s="20">
        <v>358</v>
      </c>
      <c r="D21" s="20">
        <v>783.38</v>
      </c>
      <c r="E21" s="20">
        <v>49</v>
      </c>
      <c r="F21" s="21">
        <v>7</v>
      </c>
      <c r="G21" s="9"/>
      <c r="H21" s="9"/>
      <c r="I21" s="9"/>
      <c r="J21" s="9"/>
      <c r="K21" s="9"/>
      <c r="L21" s="9"/>
    </row>
    <row r="22" spans="1:12" ht="13.8" thickBot="1">
      <c r="A22" s="24">
        <v>8</v>
      </c>
      <c r="B22" s="25"/>
      <c r="C22" s="20">
        <v>417</v>
      </c>
      <c r="D22" s="20">
        <v>937.91</v>
      </c>
      <c r="E22" s="20">
        <v>56</v>
      </c>
      <c r="F22" s="21">
        <v>8</v>
      </c>
      <c r="G22" s="9"/>
      <c r="H22" s="9"/>
      <c r="I22" s="9"/>
      <c r="J22" s="9"/>
      <c r="K22" s="9"/>
      <c r="L22" s="9"/>
    </row>
    <row r="23" spans="1:12" ht="13.8" thickBot="1">
      <c r="A23" s="25"/>
      <c r="B23" s="24">
        <v>9</v>
      </c>
      <c r="C23" s="20">
        <v>476</v>
      </c>
      <c r="D23" s="20">
        <v>1098.6199999999999</v>
      </c>
      <c r="E23" s="20">
        <v>63</v>
      </c>
      <c r="F23" s="21">
        <v>9</v>
      </c>
      <c r="G23" s="9"/>
      <c r="H23" s="9"/>
      <c r="I23" s="9"/>
      <c r="J23" s="9"/>
      <c r="K23" s="9"/>
      <c r="L23" s="9"/>
    </row>
    <row r="24" spans="1:12" ht="13.8" thickBot="1">
      <c r="A24" s="24">
        <v>10</v>
      </c>
      <c r="B24" s="25"/>
      <c r="C24" s="20">
        <v>537</v>
      </c>
      <c r="D24" s="20">
        <v>1265.47</v>
      </c>
      <c r="E24" s="20">
        <v>70</v>
      </c>
      <c r="F24" s="21">
        <v>10</v>
      </c>
      <c r="G24" s="9"/>
      <c r="H24" s="9"/>
      <c r="I24" s="9"/>
      <c r="J24" s="9"/>
      <c r="K24" s="9"/>
      <c r="L24" s="9"/>
    </row>
    <row r="25" spans="1:12" ht="13.8" thickBot="1">
      <c r="A25" s="25"/>
      <c r="B25" s="24">
        <v>11</v>
      </c>
      <c r="C25" s="20">
        <v>603</v>
      </c>
      <c r="D25" s="20">
        <v>1448.32</v>
      </c>
      <c r="E25" s="20">
        <v>78</v>
      </c>
      <c r="F25" s="21">
        <v>11</v>
      </c>
      <c r="G25" s="9"/>
      <c r="H25" s="9"/>
      <c r="I25" s="9"/>
      <c r="J25" s="9"/>
      <c r="K25" s="9"/>
      <c r="L25" s="9"/>
    </row>
    <row r="26" spans="1:12" ht="13.8" thickBot="1">
      <c r="A26" s="24">
        <v>12</v>
      </c>
      <c r="B26" s="25"/>
      <c r="C26" s="20">
        <v>674</v>
      </c>
      <c r="D26" s="20">
        <v>1648.27</v>
      </c>
      <c r="E26" s="20">
        <v>86</v>
      </c>
      <c r="F26" s="21">
        <v>12</v>
      </c>
      <c r="G26" s="9"/>
      <c r="H26" s="9"/>
      <c r="I26" s="9"/>
      <c r="J26" s="9"/>
      <c r="K26" s="9"/>
      <c r="L26" s="9"/>
    </row>
    <row r="27" spans="1:12" ht="13.8" thickBot="1">
      <c r="A27" s="25"/>
      <c r="B27" s="24">
        <v>13</v>
      </c>
      <c r="C27" s="20">
        <v>753</v>
      </c>
      <c r="D27" s="20">
        <v>1876.08</v>
      </c>
      <c r="E27" s="20">
        <v>95</v>
      </c>
      <c r="F27" s="21">
        <v>13</v>
      </c>
      <c r="G27" s="9"/>
      <c r="H27" s="9"/>
      <c r="I27" s="9"/>
      <c r="J27" s="9"/>
      <c r="K27" s="9"/>
      <c r="L27" s="9"/>
    </row>
    <row r="28" spans="1:12" ht="13.8" thickBot="1">
      <c r="A28" s="24">
        <v>14</v>
      </c>
      <c r="B28" s="25"/>
      <c r="C28" s="20">
        <v>843</v>
      </c>
      <c r="D28" s="20">
        <v>2142.06</v>
      </c>
      <c r="E28" s="20">
        <v>105</v>
      </c>
      <c r="F28" s="21">
        <v>14</v>
      </c>
      <c r="G28" s="9"/>
      <c r="H28" s="9"/>
      <c r="I28" s="9"/>
      <c r="J28" s="9"/>
      <c r="K28" s="9"/>
      <c r="L28" s="9"/>
    </row>
    <row r="29" spans="1:12" ht="13.8" thickBot="1">
      <c r="A29" s="25"/>
      <c r="B29" s="24">
        <v>15</v>
      </c>
      <c r="C29" s="20">
        <v>949</v>
      </c>
      <c r="D29" s="20">
        <v>2465.37</v>
      </c>
      <c r="E29" s="20">
        <v>117</v>
      </c>
      <c r="F29" s="21">
        <v>15</v>
      </c>
      <c r="G29" s="9"/>
      <c r="H29" s="9"/>
      <c r="I29" s="9"/>
      <c r="J29" s="9"/>
      <c r="K29" s="9"/>
      <c r="L29" s="9"/>
    </row>
    <row r="30" spans="1:12" ht="13.8" thickBot="1">
      <c r="A30" s="24">
        <v>16</v>
      </c>
      <c r="B30" s="25"/>
      <c r="C30" s="20">
        <v>1076</v>
      </c>
      <c r="D30" s="20">
        <v>2866.31</v>
      </c>
      <c r="E30" s="20">
        <v>130</v>
      </c>
      <c r="F30" s="21">
        <v>16</v>
      </c>
      <c r="G30" s="9"/>
      <c r="H30" s="9"/>
      <c r="I30" s="9"/>
      <c r="J30" s="9"/>
      <c r="K30" s="9"/>
      <c r="L30" s="9"/>
    </row>
    <row r="31" spans="1:12" ht="13.8" thickBot="1">
      <c r="A31" s="25"/>
      <c r="B31" s="24">
        <v>17</v>
      </c>
      <c r="C31" s="20">
        <v>1237</v>
      </c>
      <c r="D31" s="20">
        <v>3401.59</v>
      </c>
      <c r="E31" s="20">
        <v>147</v>
      </c>
      <c r="F31" s="21">
        <v>17</v>
      </c>
      <c r="G31" s="9"/>
      <c r="H31" s="9"/>
      <c r="I31" s="9"/>
      <c r="J31" s="9"/>
      <c r="K31" s="9"/>
      <c r="L31" s="9"/>
    </row>
    <row r="32" spans="1:12" ht="13.8" thickBot="1">
      <c r="A32" s="24">
        <v>18</v>
      </c>
      <c r="B32" s="25"/>
      <c r="C32" s="20">
        <v>1459</v>
      </c>
      <c r="D32" s="20">
        <v>4155.7299999999996</v>
      </c>
      <c r="E32" s="20">
        <v>170</v>
      </c>
      <c r="F32" s="21">
        <v>18</v>
      </c>
      <c r="G32" s="9"/>
      <c r="H32" s="9"/>
      <c r="I32" s="9"/>
      <c r="J32" s="9"/>
      <c r="K32" s="9"/>
      <c r="L32" s="9"/>
    </row>
    <row r="33" spans="1:12" ht="13.8" thickBot="1">
      <c r="A33" s="25"/>
      <c r="B33" s="24">
        <v>19</v>
      </c>
      <c r="C33" s="20">
        <v>1801</v>
      </c>
      <c r="D33" s="20">
        <v>5400.08</v>
      </c>
      <c r="E33" s="20">
        <v>205</v>
      </c>
      <c r="F33" s="21">
        <v>19</v>
      </c>
      <c r="G33" s="9"/>
      <c r="H33" s="9"/>
      <c r="I33" s="9"/>
      <c r="J33" s="9"/>
      <c r="K33" s="9"/>
      <c r="L33" s="9"/>
    </row>
    <row r="34" spans="1:12" ht="13.8" thickBot="1">
      <c r="A34" s="24">
        <v>20</v>
      </c>
      <c r="B34" s="25"/>
      <c r="C34" s="20">
        <v>2479</v>
      </c>
      <c r="D34" s="20">
        <v>8037.54</v>
      </c>
      <c r="E34" s="20">
        <v>281</v>
      </c>
      <c r="F34" s="21">
        <v>20</v>
      </c>
      <c r="G34" s="9"/>
      <c r="H34" s="9"/>
      <c r="I34" s="9"/>
      <c r="J34" s="9"/>
      <c r="K34" s="9"/>
      <c r="L34" s="9"/>
    </row>
    <row r="35" spans="1:12" ht="13.8" thickBot="1">
      <c r="A35" s="25"/>
      <c r="B35" s="24">
        <v>21</v>
      </c>
      <c r="C35" s="20">
        <v>594601</v>
      </c>
      <c r="D35" s="20">
        <v>223212</v>
      </c>
      <c r="E35" s="20">
        <v>3920</v>
      </c>
      <c r="F35" s="21">
        <v>21</v>
      </c>
      <c r="G35" s="9"/>
      <c r="H35" s="9"/>
      <c r="I35" s="9"/>
      <c r="J35" s="9"/>
      <c r="K35" s="9"/>
      <c r="L35" s="9"/>
    </row>
    <row r="36" spans="1:12" ht="13.8" thickBot="1">
      <c r="A36" s="19"/>
      <c r="B36" s="25"/>
      <c r="C36" s="22"/>
      <c r="D36" s="22"/>
      <c r="E36" s="22"/>
      <c r="F36" s="23"/>
      <c r="G36" s="9"/>
      <c r="H36" s="9"/>
      <c r="I36" s="9"/>
      <c r="J36" s="9"/>
      <c r="K36" s="9"/>
      <c r="L36" s="9"/>
    </row>
  </sheetData>
  <mergeCells count="22">
    <mergeCell ref="A14:B14"/>
    <mergeCell ref="B15:B16"/>
    <mergeCell ref="A16:A17"/>
    <mergeCell ref="B17:B18"/>
    <mergeCell ref="A18:A19"/>
    <mergeCell ref="B19:B20"/>
    <mergeCell ref="A20:A21"/>
    <mergeCell ref="B21:B22"/>
    <mergeCell ref="A22:A23"/>
    <mergeCell ref="B23:B24"/>
    <mergeCell ref="A34:A35"/>
    <mergeCell ref="B35:B36"/>
    <mergeCell ref="A24:A25"/>
    <mergeCell ref="B25:B26"/>
    <mergeCell ref="A26:A27"/>
    <mergeCell ref="B27:B28"/>
    <mergeCell ref="A28:A29"/>
    <mergeCell ref="B29:B30"/>
    <mergeCell ref="A30:A31"/>
    <mergeCell ref="B31:B32"/>
    <mergeCell ref="A32:A33"/>
    <mergeCell ref="B33:B34"/>
  </mergeCells>
  <hyperlinks>
    <hyperlink ref="A9" r:id="rId1" display="http://nomdusite.com/" xr:uid="{A8AC6E5D-FD7B-4FC9-A0EA-11D6BDEE398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LOC</vt:lpstr>
      <vt:lpstr>Halstead</vt:lpstr>
      <vt:lpstr>CC</vt:lpstr>
      <vt:lpstr>QuickSort</vt:lpstr>
      <vt:lpstr>MI</vt:lpstr>
      <vt:lpstr>TCF</vt:lpstr>
      <vt:lpstr>UFC devWeb</vt:lpstr>
      <vt:lpstr>Couplage</vt:lpstr>
      <vt:lpstr>Réponses</vt:lpstr>
      <vt:lpstr>HPC Green Algorithms</vt:lpstr>
      <vt:lpstr>EcoIndex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Maxime Arfi</cp:lastModifiedBy>
  <cp:revision>0</cp:revision>
  <dcterms:created xsi:type="dcterms:W3CDTF">2026-10-15T06:53:16Z</dcterms:created>
  <dcterms:modified xsi:type="dcterms:W3CDTF">2026-10-20T16:22:10Z</dcterms:modified>
  <dc:language>en-US</dc:language>
</cp:coreProperties>
</file>